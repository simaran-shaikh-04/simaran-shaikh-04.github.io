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Current Portfolio" sheetId="1" state="visible" r:id="rId3"/>
    <sheet name="Motilal Oswal Finance Services" sheetId="2" state="visible" r:id="rId4"/>
    <sheet name="Sagility" sheetId="3" state="visible" r:id="rId5"/>
    <sheet name="HDFC Bank" sheetId="4" state="visible" r:id="rId6"/>
    <sheet name="Colgate" sheetId="5" state="visible" r:id="rId7"/>
    <sheet name="Consolidated Analysis" sheetId="6" state="visible" r:id="rId8"/>
    <sheet name="Deployment Recommendation" sheetId="7" state="visible" r:id="rId9"/>
    <sheet name="Outcome Track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<sst xmlns="http://schemas.openxmlformats.org/spreadsheetml/2006/main" count="273" uniqueCount="111">
  <si>
    <t xml:space="preserve">Sr.No</t>
  </si>
  <si>
    <t xml:space="preserve">Stock</t>
  </si>
  <si>
    <t xml:space="preserve">Sector</t>
  </si>
  <si>
    <t xml:space="preserve">Approx Invested</t>
  </si>
  <si>
    <t xml:space="preserve">Returns %</t>
  </si>
  <si>
    <t xml:space="preserve">Current Value</t>
  </si>
  <si>
    <t xml:space="preserve">P&amp;L</t>
  </si>
  <si>
    <t xml:space="preserve">Status</t>
  </si>
  <si>
    <t xml:space="preserve">Motilal Oswal Finance /Services</t>
  </si>
  <si>
    <t xml:space="preserve">NBFC/Finance</t>
  </si>
  <si>
    <t xml:space="preserve">Loss</t>
  </si>
  <si>
    <t xml:space="preserve">Sagility India</t>
  </si>
  <si>
    <t xml:space="preserve">Healthcare IT</t>
  </si>
  <si>
    <t xml:space="preserve">HDFC Bank</t>
  </si>
  <si>
    <t xml:space="preserve">Banking</t>
  </si>
  <si>
    <t xml:space="preserve">Profit</t>
  </si>
  <si>
    <t xml:space="preserve">Total Deployed</t>
  </si>
  <si>
    <t xml:space="preserve">Cash Available</t>
  </si>
  <si>
    <t xml:space="preserve">Total Portfolio</t>
  </si>
  <si>
    <t xml:space="preserve">Motilal Oswal Finance Services</t>
  </si>
  <si>
    <t xml:space="preserve">Metric</t>
  </si>
  <si>
    <t xml:space="preserve">Amount/ Data</t>
  </si>
  <si>
    <t xml:space="preserve">Current Market Price</t>
  </si>
  <si>
    <t xml:space="preserve">Market Cap</t>
  </si>
  <si>
    <t xml:space="preserve">₹ 51,213 Cr</t>
  </si>
  <si>
    <t xml:space="preserve">Stock P/E</t>
  </si>
  <si>
    <t xml:space="preserve">Industry P/E</t>
  </si>
  <si>
    <t xml:space="preserve">Price to Book</t>
  </si>
  <si>
    <t xml:space="preserve">ROCE %</t>
  </si>
  <si>
    <t xml:space="preserve">ROE %</t>
  </si>
  <si>
    <t xml:space="preserve">EPS</t>
  </si>
  <si>
    <t xml:space="preserve">Debt to Equity</t>
  </si>
  <si>
    <t xml:space="preserve">Interest Coverage</t>
  </si>
  <si>
    <t xml:space="preserve">Promoter Holding %</t>
  </si>
  <si>
    <t xml:space="preserve">Sales</t>
  </si>
  <si>
    <t xml:space="preserve">₹ 9,374 Cr.</t>
  </si>
  <si>
    <t xml:space="preserve">Profit After Tax (PAT)</t>
  </si>
  <si>
    <t xml:space="preserve">₹ 1,869 Cr.</t>
  </si>
  <si>
    <t xml:space="preserve">Sales Growth</t>
  </si>
  <si>
    <t xml:space="preserve">Sales Growth 3Y</t>
  </si>
  <si>
    <t xml:space="preserve">Profit Growth</t>
  </si>
  <si>
    <t xml:space="preserve">Retuns 3M</t>
  </si>
  <si>
    <t xml:space="preserve">Retuns 6M</t>
  </si>
  <si>
    <t xml:space="preserve">52 Week High / Low</t>
  </si>
  <si>
    <t xml:space="preserve">₹ 1,097 / ₹ 615</t>
  </si>
  <si>
    <t xml:space="preserve">Down from 52W High</t>
  </si>
  <si>
    <t xml:space="preserve">Sagility</t>
  </si>
  <si>
    <t xml:space="preserve">₹ 19,769 Cr.</t>
  </si>
  <si>
    <t xml:space="preserve">₹ 7,193 Cr.</t>
  </si>
  <si>
    <t xml:space="preserve">₹ 948 Cr.</t>
  </si>
  <si>
    <t xml:space="preserve">₹ 57.9 / 35.8</t>
  </si>
  <si>
    <t xml:space="preserve">₹  11,74,294 Cr.</t>
  </si>
  <si>
    <t xml:space="preserve">₹ 3,48,615 Cr.</t>
  </si>
  <si>
    <t xml:space="preserve">₹ 76,026 Cr.</t>
  </si>
  <si>
    <t xml:space="preserve">₹ 1,020 / 727</t>
  </si>
  <si>
    <t xml:space="preserve">Colgate</t>
  </si>
  <si>
    <t xml:space="preserve">59,476 Cr.</t>
  </si>
  <si>
    <t xml:space="preserve">₹59,476 Cr.</t>
  </si>
  <si>
    <t xml:space="preserve">₹1,333 Cr.</t>
  </si>
  <si>
    <t xml:space="preserve">₹ 2,726 / 1,782</t>
  </si>
  <si>
    <t xml:space="preserve">Companies </t>
  </si>
  <si>
    <t xml:space="preserve">Ideal</t>
  </si>
  <si>
    <t xml:space="preserve">-</t>
  </si>
  <si>
    <t xml:space="preserve">Below Industry</t>
  </si>
  <si>
    <t xml:space="preserve">Below 3</t>
  </si>
  <si>
    <t xml:space="preserve">Above 20%</t>
  </si>
  <si>
    <t xml:space="preserve">Above 15%</t>
  </si>
  <si>
    <t xml:space="preserve">Growing</t>
  </si>
  <si>
    <t xml:space="preserve">Low</t>
  </si>
  <si>
    <t xml:space="preserve">Above 5</t>
  </si>
  <si>
    <t xml:space="preserve">Above 50%</t>
  </si>
  <si>
    <t xml:space="preserve">Positive</t>
  </si>
  <si>
    <t xml:space="preserve">Recommendation</t>
  </si>
  <si>
    <t xml:space="preserve">Hold and Don’t Average</t>
  </si>
  <si>
    <t xml:space="preserve">Buy More / Average Down</t>
  </si>
  <si>
    <t xml:space="preserve">Hold and Don’t Add</t>
  </si>
  <si>
    <t xml:space="preserve">New Position</t>
  </si>
  <si>
    <t xml:space="preserve">Deployment Recommendation</t>
  </si>
  <si>
    <t xml:space="preserve">Deployment</t>
  </si>
  <si>
    <t xml:space="preserve">Details</t>
  </si>
  <si>
    <t xml:space="preserve">Total  Cash Avaliable</t>
  </si>
  <si>
    <t xml:space="preserve">Recommended Deployment</t>
  </si>
  <si>
    <t xml:space="preserve">Cash</t>
  </si>
  <si>
    <t xml:space="preserve">Portfolio After Recommendation</t>
  </si>
  <si>
    <t xml:space="preserve">Stock </t>
  </si>
  <si>
    <t xml:space="preserve">Action</t>
  </si>
  <si>
    <t xml:space="preserve">Amount</t>
  </si>
  <si>
    <t xml:space="preserve">Reason</t>
  </si>
  <si>
    <t xml:space="preserve">Hold - Don’t Average</t>
  </si>
  <si>
    <t xml:space="preserve">Profit falling - 25.3% still Overvalued vs Industry P/E</t>
  </si>
  <si>
    <t xml:space="preserve">Average Down - Buy more</t>
  </si>
  <si>
    <t xml:space="preserve">Undervalued vs Industry P/E, profit up 74%, Debt Free</t>
  </si>
  <si>
    <t xml:space="preserve">Slow Growth 3.64%, Returns for Last 3 and 6 Months is still falling</t>
  </si>
  <si>
    <t xml:space="preserve">Defensive Hedge against Volitality, ROCE 105%, Debt Free</t>
  </si>
  <si>
    <t xml:space="preserve">Keep</t>
  </si>
  <si>
    <t xml:space="preserve">Deploy on further Dips</t>
  </si>
  <si>
    <t xml:space="preserve">Original Invested</t>
  </si>
  <si>
    <t xml:space="preserve">Additional</t>
  </si>
  <si>
    <t xml:space="preserve">Total Invested</t>
  </si>
  <si>
    <t xml:space="preserve">FMCG</t>
  </si>
  <si>
    <t xml:space="preserve">Price Feb 23/2026</t>
  </si>
  <si>
    <t xml:space="preserve">Price May 19/2026</t>
  </si>
  <si>
    <t xml:space="preserve">Change</t>
  </si>
  <si>
    <t xml:space="preserve">Was it a Right Call?</t>
  </si>
  <si>
    <t xml:space="preserve">Hold</t>
  </si>
  <si>
    <t xml:space="preserve">Correct, Stock Barely Moved</t>
  </si>
  <si>
    <t xml:space="preserve">Average Down ₹80,000</t>
  </si>
  <si>
    <t xml:space="preserve">Correct, But Price hasn’t Recovered yet. Patience Required</t>
  </si>
  <si>
    <t xml:space="preserve">Correct, Not to add more Because Stock Continued to fall</t>
  </si>
  <si>
    <t xml:space="preserve">New Position ₹80,000</t>
  </si>
  <si>
    <t xml:space="preserve">Correct, Stock Barely Moved, Defensive pick protected the Capital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</si>
</sst>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 [$₹-4009]\ * #,##0_ ;_ [$₹-4009]\ * \-#,##0_ ;_ [$₹-4009]\ * \-??_ ;_ @_ "/>
    <numFmt numFmtId="166" formatCode="0%"/>
    <numFmt numFmtId="167" formatCode="_ &quot;₹ &quot;* #,##0_ ;_ &quot;₹ &quot;* \-#,##0_ ;_ &quot;₹ &quot;* \-??_ ;_ @_ "/>
    <numFmt numFmtId="168" formatCode="&quot;₹ &quot;#,##0;[RED]&quot;₹ -&quot;#,##0"/>
    <numFmt numFmtId="169" formatCode="0.00%"/>
    <numFmt numFmtId="170" formatCode="&quot;₹ &quot;#,##0.00;[RED]&quot;₹ -&quot;#,##0.00"/>
    <numFmt numFmtId="171" formatCode="_ &quot;₹ &quot;* #,##0.00_ ;_ &quot;₹ &quot;* \-#,##0.00_ ;_ &quot;₹ &quot;* \-??_ ;_ @_ "/>
    <numFmt numFmtId="172" formatCode="_ [$₹-4009]\ * #,##0.00_ ;_ [$₹-4009]\ * \-#,##0.00_ ;_ [$₹-4009]\ * \-??_ ;_ @_ "/>
  </numFmts>
  <fonts count="1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Aptos Narrow"/>
      <family val="2"/>
      <charset val="1"/>
    </font>
    <font>
      <sz val="11"/>
      <color rgb="FFC00000"/>
      <name val="Aptos Narrow"/>
      <family val="2"/>
      <charset val="1"/>
    </font>
    <font>
      <b val="true"/>
      <sz val="11"/>
      <color rgb="FFC00000"/>
      <name val="Aptos Narrow"/>
      <family val="2"/>
      <charset val="1"/>
    </font>
    <font>
      <sz val="11"/>
      <color theme="9"/>
      <name val="Aptos Narrow"/>
      <family val="2"/>
      <charset val="1"/>
    </font>
    <font>
      <b val="true"/>
      <sz val="11"/>
      <color theme="9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u val="single"/>
      <sz val="11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sz val="11"/>
      <color theme="9" tint="-0.25"/>
      <name val="Aptos Narrow"/>
      <family val="2"/>
      <charset val="1"/>
    </font>
    <font>
      <sz val="11"/>
      <color rgb="FF00B050"/>
      <name val="Aptos Narrow"/>
      <family val="2"/>
      <charset val="1"/>
    </font>
    <font>
      <b val="true"/>
      <sz val="11"/>
      <color rgb="FFFF0000"/>
      <name val="Aptos Narrow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BE3D6"/>
      </patternFill>
    </fill>
    <fill>
      <patternFill patternType="solid">
        <fgColor theme="4"/>
        <bgColor rgb="FF0066CC"/>
      </patternFill>
    </fill>
    <fill>
      <patternFill patternType="solid">
        <fgColor theme="7"/>
        <bgColor rgb="FF46B1E1"/>
      </patternFill>
    </fill>
    <fill>
      <patternFill patternType="solid">
        <fgColor theme="3"/>
        <bgColor rgb="FF333333"/>
      </patternFill>
    </fill>
    <fill>
      <patternFill patternType="solid">
        <fgColor theme="5" tint="0.7999"/>
        <bgColor rgb="FFD9F2D0"/>
      </patternFill>
    </fill>
    <fill>
      <patternFill patternType="solid">
        <fgColor theme="9" tint="0.7999"/>
        <bgColor rgb="FFCCFFFF"/>
      </patternFill>
    </fill>
    <fill>
      <patternFill patternType="solid">
        <fgColor rgb="FFFAF590"/>
        <bgColor rgb="FFFBE3D6"/>
      </patternFill>
    </fill>
    <fill>
      <patternFill patternType="solid">
        <fgColor theme="5" tint="0.5999"/>
        <bgColor rgb="FFFBE3D6"/>
      </patternFill>
    </fill>
    <fill>
      <patternFill patternType="solid">
        <fgColor theme="6" tint="0.599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>
        <color theme="4" tint="0.3999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2" borderId="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9ED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3B7D23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B050"/>
      <rgbColor rgb="FFCCFFFF"/>
      <rgbColor rgb="FFD9F2D0"/>
      <rgbColor rgb="FFFAF590"/>
      <rgbColor rgb="FF84E291"/>
      <rgbColor rgb="FFFF99CC"/>
      <rgbColor rgb="FFCC99FF"/>
      <rgbColor rgb="FFF6C6AD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E2841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B3:C23" headerRowCount="1" totalsRowCount="0" totalsRowShown="0">
  <autoFilter ref="B3:C23"/>
  <tableColumns count="2">
    <tableColumn id="1" name="Metric"/>
    <tableColumn id="2" name="Amount/ Data"/>
  </tableColumns>
</table>
</file>

<file path=xl/tables/table2.xml><?xml version="1.0" encoding="utf-8"?>
<table xmlns="http://schemas.openxmlformats.org/spreadsheetml/2006/main" id="2" name="Table13" displayName="Table13" ref="B3:C23" headerRowCount="1" totalsRowCount="0" totalsRowShown="0">
  <autoFilter ref="B3:C23"/>
  <tableColumns count="2">
    <tableColumn id="1" name="Metric"/>
    <tableColumn id="2" name="Amount/ Data"/>
  </tableColumns>
</table>
</file>

<file path=xl/tables/table3.xml><?xml version="1.0" encoding="utf-8"?>
<table xmlns="http://schemas.openxmlformats.org/spreadsheetml/2006/main" id="3" name="Table134" displayName="Table134" ref="B3:C23" headerRowCount="1" totalsRowCount="0" totalsRowShown="0">
  <autoFilter ref="B3:C23"/>
  <tableColumns count="2">
    <tableColumn id="1" name="Metric"/>
    <tableColumn id="2" name="Amount/ Data"/>
  </tableColumns>
</table>
</file>

<file path=xl/tables/table4.xml><?xml version="1.0" encoding="utf-8"?>
<table xmlns="http://schemas.openxmlformats.org/spreadsheetml/2006/main" id="4" name="Table1345" displayName="Table1345" ref="B3:C23" headerRowCount="1" totalsRowCount="0" totalsRowShown="0">
  <autoFilter ref="B3:C23"/>
  <tableColumns count="2">
    <tableColumn id="1" name="Metric"/>
    <tableColumn id="2" name="Amount/ Dat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H5" activeCellId="0" sqref="H5"/>
    </sheetView>
  </sheetViews>
  <sheetFormatPr defaultColWidth="8.89453125" defaultRowHeight="14.25" customHeight="false" zeroHeight="false" outlineLevelRow="0" outlineLevelCol="0"/>
  <cols>
    <col collapsed="false" customWidth="true" hidden="false" outlineLevel="0" max="1" min="1" style="1" width="2.93"/>
    <col collapsed="false" customWidth="false" hidden="false" outlineLevel="0" max="2" min="2" style="1" width="8.89"/>
    <col collapsed="false" customWidth="true" hidden="false" outlineLevel="0" max="3" min="3" style="1" width="32.58"/>
    <col collapsed="false" customWidth="true" hidden="false" outlineLevel="0" max="4" min="4" style="1" width="19.14"/>
    <col collapsed="false" customWidth="true" hidden="false" outlineLevel="0" max="5" min="5" style="2" width="18.53"/>
    <col collapsed="false" customWidth="true" hidden="false" outlineLevel="0" max="6" min="6" style="3" width="16.36"/>
    <col collapsed="false" customWidth="true" hidden="false" outlineLevel="0" max="7" min="7" style="4" width="15.11"/>
    <col collapsed="false" customWidth="true" hidden="false" outlineLevel="0" max="8" min="8" style="1" width="13.59"/>
    <col collapsed="false" customWidth="true" hidden="false" outlineLevel="0" max="9" min="9" style="1" width="11.27"/>
    <col collapsed="false" customWidth="false" hidden="false" outlineLevel="0" max="16384" min="10" style="1" width="8.89"/>
  </cols>
  <sheetData>
    <row r="2" customFormat="false" ht="14.25" hidden="false" customHeight="false" outlineLevel="0" collapsed="false">
      <c r="A2" s="5"/>
      <c r="B2" s="6" t="s">
        <v>0</v>
      </c>
      <c r="C2" s="6" t="s">
        <v>1</v>
      </c>
      <c r="D2" s="6" t="s">
        <v>2</v>
      </c>
      <c r="E2" s="7" t="s">
        <v>3</v>
      </c>
      <c r="F2" s="8" t="s">
        <v>4</v>
      </c>
      <c r="G2" s="9" t="s">
        <v>5</v>
      </c>
      <c r="H2" s="6" t="s">
        <v>6</v>
      </c>
      <c r="I2" s="6" t="s">
        <v>7</v>
      </c>
    </row>
    <row r="3" customFormat="false" ht="14.25" hidden="false" customHeight="false" outlineLevel="0" collapsed="false">
      <c r="B3" s="10" t="n">
        <v>1</v>
      </c>
      <c r="C3" s="10" t="s">
        <v>8</v>
      </c>
      <c r="D3" s="10" t="s">
        <v>9</v>
      </c>
      <c r="E3" s="11" t="n">
        <v>100000</v>
      </c>
      <c r="F3" s="12" t="n">
        <v>-0.04</v>
      </c>
      <c r="G3" s="13" t="n">
        <v>96000</v>
      </c>
      <c r="H3" s="14" t="n">
        <f aca="false">G3-E3</f>
        <v>-4000</v>
      </c>
      <c r="I3" s="15" t="s">
        <v>10</v>
      </c>
    </row>
    <row r="4" customFormat="false" ht="14.25" hidden="false" customHeight="false" outlineLevel="0" collapsed="false">
      <c r="B4" s="10" t="n">
        <v>2</v>
      </c>
      <c r="C4" s="10" t="s">
        <v>11</v>
      </c>
      <c r="D4" s="10" t="s">
        <v>12</v>
      </c>
      <c r="E4" s="11" t="n">
        <v>100000</v>
      </c>
      <c r="F4" s="12" t="n">
        <v>-0.14</v>
      </c>
      <c r="G4" s="13" t="n">
        <v>86000</v>
      </c>
      <c r="H4" s="14" t="n">
        <f aca="false">G4-E4</f>
        <v>-14000</v>
      </c>
      <c r="I4" s="15" t="s">
        <v>10</v>
      </c>
    </row>
    <row r="5" customFormat="false" ht="14.25" hidden="false" customHeight="false" outlineLevel="0" collapsed="false">
      <c r="B5" s="10" t="n">
        <v>3</v>
      </c>
      <c r="C5" s="10" t="s">
        <v>13</v>
      </c>
      <c r="D5" s="10" t="s">
        <v>14</v>
      </c>
      <c r="E5" s="11" t="n">
        <v>100000</v>
      </c>
      <c r="F5" s="16" t="n">
        <v>0.01</v>
      </c>
      <c r="G5" s="13" t="n">
        <v>101000</v>
      </c>
      <c r="H5" s="17" t="n">
        <f aca="false">G5-E5</f>
        <v>1000</v>
      </c>
      <c r="I5" s="18" t="s">
        <v>15</v>
      </c>
    </row>
    <row r="6" customFormat="false" ht="14.25" hidden="false" customHeight="false" outlineLevel="0" collapsed="false">
      <c r="B6" s="10"/>
      <c r="C6" s="10"/>
      <c r="D6" s="19" t="s">
        <v>16</v>
      </c>
      <c r="E6" s="20" t="n">
        <f aca="false">SUM(E3:E5)</f>
        <v>300000</v>
      </c>
      <c r="F6" s="21"/>
      <c r="G6" s="20" t="n">
        <f aca="false">SUM(G3:G5)</f>
        <v>283000</v>
      </c>
      <c r="H6" s="14" t="n">
        <f aca="false">SUM(H3:H5)</f>
        <v>-17000</v>
      </c>
      <c r="I6" s="19"/>
    </row>
    <row r="7" customFormat="false" ht="14.25" hidden="false" customHeight="false" outlineLevel="0" collapsed="false">
      <c r="B7" s="10"/>
      <c r="C7" s="10"/>
      <c r="D7" s="10"/>
      <c r="E7" s="11"/>
      <c r="F7" s="22"/>
      <c r="G7" s="13"/>
      <c r="H7" s="10"/>
      <c r="I7" s="10"/>
    </row>
    <row r="8" customFormat="false" ht="14.25" hidden="false" customHeight="false" outlineLevel="0" collapsed="false">
      <c r="B8" s="10"/>
      <c r="C8" s="10"/>
      <c r="D8" s="10" t="s">
        <v>17</v>
      </c>
      <c r="E8" s="11" t="n">
        <v>200000</v>
      </c>
      <c r="F8" s="22"/>
      <c r="G8" s="11" t="n">
        <v>200000</v>
      </c>
      <c r="H8" s="10"/>
      <c r="I8" s="10"/>
    </row>
    <row r="9" customFormat="false" ht="14.25" hidden="false" customHeight="false" outlineLevel="0" collapsed="false">
      <c r="B9" s="10"/>
      <c r="C9" s="10"/>
      <c r="D9" s="23" t="s">
        <v>18</v>
      </c>
      <c r="E9" s="24" t="n">
        <f aca="false">E6+E8</f>
        <v>500000</v>
      </c>
      <c r="F9" s="25"/>
      <c r="G9" s="26" t="n">
        <f aca="false">G6+G8</f>
        <v>483000</v>
      </c>
      <c r="H9" s="24" t="n">
        <f aca="false">SUM(H6:H8)</f>
        <v>-17000</v>
      </c>
      <c r="I9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3" activeCellId="0" sqref="B3"/>
    </sheetView>
  </sheetViews>
  <sheetFormatPr defaultColWidth="8.89453125" defaultRowHeight="14.25" customHeight="false" zeroHeight="false" outlineLevelRow="0" outlineLevelCol="0"/>
  <cols>
    <col collapsed="false" customWidth="true" hidden="false" outlineLevel="0" max="1" min="1" style="1" width="2.47"/>
    <col collapsed="false" customWidth="true" hidden="false" outlineLevel="0" max="2" min="2" style="1" width="37"/>
    <col collapsed="false" customWidth="true" hidden="false" outlineLevel="0" max="3" min="3" style="1" width="41.22"/>
    <col collapsed="false" customWidth="false" hidden="false" outlineLevel="0" max="16384" min="4" style="1" width="8.89"/>
  </cols>
  <sheetData>
    <row r="2" customFormat="false" ht="15" hidden="false" customHeight="false" outlineLevel="0" collapsed="false">
      <c r="B2" s="27" t="s">
        <v>19</v>
      </c>
    </row>
    <row r="3" customFormat="false" ht="14.25" hidden="false" customHeight="false" outlineLevel="0" collapsed="false">
      <c r="B3" s="28" t="s">
        <v>20</v>
      </c>
      <c r="C3" s="28" t="s">
        <v>21</v>
      </c>
    </row>
    <row r="4" customFormat="false" ht="14.25" hidden="false" customHeight="false" outlineLevel="0" collapsed="false">
      <c r="B4" s="10" t="s">
        <v>22</v>
      </c>
      <c r="C4" s="29" t="n">
        <v>853</v>
      </c>
    </row>
    <row r="5" customFormat="false" ht="14.25" hidden="false" customHeight="false" outlineLevel="0" collapsed="false">
      <c r="B5" s="10" t="s">
        <v>23</v>
      </c>
      <c r="C5" s="30" t="s">
        <v>24</v>
      </c>
    </row>
    <row r="6" customFormat="false" ht="14.25" hidden="false" customHeight="false" outlineLevel="0" collapsed="false">
      <c r="B6" s="10" t="s">
        <v>25</v>
      </c>
      <c r="C6" s="10" t="n">
        <v>27.4</v>
      </c>
    </row>
    <row r="7" customFormat="false" ht="14.25" hidden="false" customHeight="false" outlineLevel="0" collapsed="false">
      <c r="B7" s="10" t="s">
        <v>26</v>
      </c>
      <c r="C7" s="10" t="n">
        <v>20.4</v>
      </c>
    </row>
    <row r="8" customFormat="false" ht="14.25" hidden="false" customHeight="false" outlineLevel="0" collapsed="false">
      <c r="B8" s="10" t="s">
        <v>27</v>
      </c>
      <c r="C8" s="10" t="n">
        <v>4</v>
      </c>
    </row>
    <row r="9" customFormat="false" ht="14.25" hidden="false" customHeight="false" outlineLevel="0" collapsed="false">
      <c r="B9" s="10" t="s">
        <v>28</v>
      </c>
      <c r="C9" s="31" t="n">
        <v>0.126</v>
      </c>
    </row>
    <row r="10" customFormat="false" ht="14.25" hidden="false" customHeight="false" outlineLevel="0" collapsed="false">
      <c r="B10" s="10" t="s">
        <v>29</v>
      </c>
      <c r="C10" s="31" t="n">
        <v>0.156</v>
      </c>
    </row>
    <row r="11" customFormat="false" ht="14.25" hidden="false" customHeight="false" outlineLevel="0" collapsed="false">
      <c r="B11" s="10" t="s">
        <v>30</v>
      </c>
      <c r="C11" s="32" t="n">
        <v>31.1</v>
      </c>
    </row>
    <row r="12" customFormat="false" ht="14.25" hidden="false" customHeight="false" outlineLevel="0" collapsed="false">
      <c r="B12" s="10" t="s">
        <v>31</v>
      </c>
      <c r="C12" s="10" t="n">
        <v>1.65</v>
      </c>
    </row>
    <row r="13" customFormat="false" ht="14.25" hidden="false" customHeight="false" outlineLevel="0" collapsed="false">
      <c r="B13" s="10" t="s">
        <v>32</v>
      </c>
      <c r="C13" s="10" t="n">
        <v>2.84</v>
      </c>
    </row>
    <row r="14" customFormat="false" ht="14.25" hidden="false" customHeight="false" outlineLevel="0" collapsed="false">
      <c r="B14" s="10" t="s">
        <v>33</v>
      </c>
      <c r="C14" s="31" t="n">
        <v>0.675</v>
      </c>
    </row>
    <row r="15" customFormat="false" ht="14.25" hidden="false" customHeight="false" outlineLevel="0" collapsed="false">
      <c r="B15" s="10" t="s">
        <v>34</v>
      </c>
      <c r="C15" s="33" t="s">
        <v>35</v>
      </c>
    </row>
    <row r="16" customFormat="false" ht="14.25" hidden="false" customHeight="false" outlineLevel="0" collapsed="false">
      <c r="B16" s="10" t="s">
        <v>36</v>
      </c>
      <c r="C16" s="33" t="s">
        <v>37</v>
      </c>
    </row>
    <row r="17" customFormat="false" ht="14.25" hidden="false" customHeight="false" outlineLevel="0" collapsed="false">
      <c r="B17" s="10" t="s">
        <v>38</v>
      </c>
      <c r="C17" s="31" t="n">
        <v>0.124</v>
      </c>
    </row>
    <row r="18" customFormat="false" ht="14.25" hidden="false" customHeight="false" outlineLevel="0" collapsed="false">
      <c r="B18" s="10" t="s">
        <v>39</v>
      </c>
      <c r="C18" s="31" t="n">
        <v>0.309</v>
      </c>
    </row>
    <row r="19" customFormat="false" ht="14.25" hidden="false" customHeight="false" outlineLevel="0" collapsed="false">
      <c r="B19" s="34" t="s">
        <v>40</v>
      </c>
      <c r="C19" s="35" t="n">
        <v>-0.253</v>
      </c>
    </row>
    <row r="20" customFormat="false" ht="14.25" hidden="false" customHeight="false" outlineLevel="0" collapsed="false">
      <c r="B20" s="10" t="s">
        <v>41</v>
      </c>
      <c r="C20" s="31" t="n">
        <v>0.0702</v>
      </c>
    </row>
    <row r="21" customFormat="false" ht="14.25" hidden="false" customHeight="false" outlineLevel="0" collapsed="false">
      <c r="B21" s="10" t="s">
        <v>42</v>
      </c>
      <c r="C21" s="31" t="n">
        <v>-0.124</v>
      </c>
    </row>
    <row r="22" customFormat="false" ht="14.25" hidden="false" customHeight="false" outlineLevel="0" collapsed="false">
      <c r="B22" s="10" t="s">
        <v>43</v>
      </c>
      <c r="C22" s="33" t="s">
        <v>44</v>
      </c>
    </row>
    <row r="23" customFormat="false" ht="14.25" hidden="false" customHeight="false" outlineLevel="0" collapsed="false">
      <c r="B23" s="10" t="s">
        <v>45</v>
      </c>
      <c r="C23" s="31" t="n">
        <v>0.225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1" activeCellId="0" sqref="B1"/>
    </sheetView>
  </sheetViews>
  <sheetFormatPr defaultColWidth="8.89453125" defaultRowHeight="14.25" customHeight="false" zeroHeight="false" outlineLevelRow="0" outlineLevelCol="0"/>
  <cols>
    <col collapsed="false" customWidth="true" hidden="false" outlineLevel="0" max="1" min="1" style="1" width="4.01"/>
    <col collapsed="false" customWidth="true" hidden="false" outlineLevel="0" max="2" min="2" style="1" width="33.33"/>
    <col collapsed="false" customWidth="true" hidden="false" outlineLevel="0" max="3" min="3" style="1" width="42.22"/>
    <col collapsed="false" customWidth="false" hidden="false" outlineLevel="0" max="16384" min="4" style="1" width="8.89"/>
  </cols>
  <sheetData>
    <row r="2" customFormat="false" ht="17.35" hidden="false" customHeight="false" outlineLevel="0" collapsed="false">
      <c r="B2" s="36" t="s">
        <v>46</v>
      </c>
    </row>
    <row r="3" customFormat="false" ht="14.25" hidden="false" customHeight="false" outlineLevel="0" collapsed="false">
      <c r="B3" s="28" t="s">
        <v>20</v>
      </c>
      <c r="C3" s="28" t="s">
        <v>21</v>
      </c>
    </row>
    <row r="4" customFormat="false" ht="14.25" hidden="false" customHeight="false" outlineLevel="0" collapsed="false">
      <c r="B4" s="10" t="s">
        <v>22</v>
      </c>
      <c r="C4" s="10" t="n">
        <v>42.2</v>
      </c>
    </row>
    <row r="5" customFormat="false" ht="14.25" hidden="false" customHeight="false" outlineLevel="0" collapsed="false">
      <c r="B5" s="10" t="s">
        <v>23</v>
      </c>
      <c r="C5" s="30" t="s">
        <v>47</v>
      </c>
    </row>
    <row r="6" customFormat="false" ht="14.25" hidden="false" customHeight="false" outlineLevel="0" collapsed="false">
      <c r="B6" s="10" t="s">
        <v>25</v>
      </c>
      <c r="C6" s="10" t="n">
        <v>20.9</v>
      </c>
    </row>
    <row r="7" customFormat="false" ht="14.25" hidden="false" customHeight="false" outlineLevel="0" collapsed="false">
      <c r="B7" s="10" t="s">
        <v>26</v>
      </c>
      <c r="C7" s="10" t="n">
        <v>25.5</v>
      </c>
    </row>
    <row r="8" customFormat="false" ht="14.25" hidden="false" customHeight="false" outlineLevel="0" collapsed="false">
      <c r="B8" s="10" t="s">
        <v>27</v>
      </c>
      <c r="C8" s="10" t="n">
        <v>2.07</v>
      </c>
    </row>
    <row r="9" customFormat="false" ht="14.25" hidden="false" customHeight="false" outlineLevel="0" collapsed="false">
      <c r="B9" s="10" t="s">
        <v>28</v>
      </c>
      <c r="C9" s="31" t="n">
        <v>0.134</v>
      </c>
    </row>
    <row r="10" customFormat="false" ht="14.25" hidden="false" customHeight="false" outlineLevel="0" collapsed="false">
      <c r="B10" s="10" t="s">
        <v>29</v>
      </c>
      <c r="C10" s="31" t="n">
        <v>0.105</v>
      </c>
    </row>
    <row r="11" customFormat="false" ht="14.25" hidden="false" customHeight="false" outlineLevel="0" collapsed="false">
      <c r="B11" s="10" t="s">
        <v>30</v>
      </c>
      <c r="C11" s="32" t="n">
        <v>1.98</v>
      </c>
    </row>
    <row r="12" customFormat="false" ht="14.25" hidden="false" customHeight="false" outlineLevel="0" collapsed="false">
      <c r="B12" s="10" t="s">
        <v>31</v>
      </c>
      <c r="C12" s="10" t="n">
        <v>0.11</v>
      </c>
    </row>
    <row r="13" customFormat="false" ht="14.25" hidden="false" customHeight="false" outlineLevel="0" collapsed="false">
      <c r="B13" s="10" t="s">
        <v>32</v>
      </c>
      <c r="C13" s="10" t="n">
        <v>13.8</v>
      </c>
    </row>
    <row r="14" customFormat="false" ht="14.25" hidden="false" customHeight="false" outlineLevel="0" collapsed="false">
      <c r="B14" s="10" t="s">
        <v>33</v>
      </c>
      <c r="C14" s="31" t="n">
        <v>0.51</v>
      </c>
    </row>
    <row r="15" customFormat="false" ht="14.25" hidden="false" customHeight="false" outlineLevel="0" collapsed="false">
      <c r="B15" s="10" t="s">
        <v>34</v>
      </c>
      <c r="C15" s="33" t="s">
        <v>48</v>
      </c>
    </row>
    <row r="16" customFormat="false" ht="14.25" hidden="false" customHeight="false" outlineLevel="0" collapsed="false">
      <c r="B16" s="10" t="s">
        <v>36</v>
      </c>
      <c r="C16" s="33" t="s">
        <v>49</v>
      </c>
    </row>
    <row r="17" customFormat="false" ht="14.25" hidden="false" customHeight="false" outlineLevel="0" collapsed="false">
      <c r="B17" s="10" t="s">
        <v>38</v>
      </c>
      <c r="C17" s="31" t="n">
        <v>0.291</v>
      </c>
    </row>
    <row r="18" customFormat="false" ht="14.25" hidden="false" customHeight="false" outlineLevel="0" collapsed="false">
      <c r="B18" s="10" t="s">
        <v>39</v>
      </c>
      <c r="C18" s="31" t="n">
        <v>0.195</v>
      </c>
    </row>
    <row r="19" customFormat="false" ht="14.25" hidden="false" customHeight="false" outlineLevel="0" collapsed="false">
      <c r="B19" s="10" t="s">
        <v>40</v>
      </c>
      <c r="C19" s="31" t="n">
        <v>0.74</v>
      </c>
    </row>
    <row r="20" customFormat="false" ht="14.25" hidden="false" customHeight="false" outlineLevel="0" collapsed="false">
      <c r="B20" s="10" t="s">
        <v>41</v>
      </c>
      <c r="C20" s="31" t="n">
        <v>-0.0945</v>
      </c>
    </row>
    <row r="21" customFormat="false" ht="14.25" hidden="false" customHeight="false" outlineLevel="0" collapsed="false">
      <c r="B21" s="10" t="s">
        <v>42</v>
      </c>
      <c r="C21" s="31" t="n">
        <v>-0.167</v>
      </c>
    </row>
    <row r="22" customFormat="false" ht="14.25" hidden="false" customHeight="false" outlineLevel="0" collapsed="false">
      <c r="B22" s="10" t="s">
        <v>43</v>
      </c>
      <c r="C22" s="33" t="s">
        <v>50</v>
      </c>
    </row>
    <row r="23" customFormat="false" ht="14.25" hidden="false" customHeight="false" outlineLevel="0" collapsed="false">
      <c r="B23" s="10" t="s">
        <v>45</v>
      </c>
      <c r="C23" s="31" t="n">
        <v>0.271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3" activeCellId="0" sqref="B3"/>
    </sheetView>
  </sheetViews>
  <sheetFormatPr defaultColWidth="8.89453125" defaultRowHeight="14.25" customHeight="false" zeroHeight="false" outlineLevelRow="0" outlineLevelCol="0"/>
  <cols>
    <col collapsed="false" customWidth="true" hidden="false" outlineLevel="0" max="1" min="1" style="1" width="4.01"/>
    <col collapsed="false" customWidth="true" hidden="false" outlineLevel="0" max="2" min="2" style="1" width="32.66"/>
    <col collapsed="false" customWidth="true" hidden="false" outlineLevel="0" max="3" min="3" style="1" width="43"/>
    <col collapsed="false" customWidth="false" hidden="false" outlineLevel="0" max="16384" min="4" style="1" width="8.89"/>
  </cols>
  <sheetData>
    <row r="2" customFormat="false" ht="17.35" hidden="false" customHeight="false" outlineLevel="0" collapsed="false">
      <c r="B2" s="36" t="s">
        <v>13</v>
      </c>
    </row>
    <row r="3" customFormat="false" ht="14.25" hidden="false" customHeight="false" outlineLevel="0" collapsed="false">
      <c r="B3" s="28" t="s">
        <v>20</v>
      </c>
      <c r="C3" s="28" t="s">
        <v>21</v>
      </c>
    </row>
    <row r="4" customFormat="false" ht="14.25" hidden="false" customHeight="false" outlineLevel="0" collapsed="false">
      <c r="B4" s="10" t="s">
        <v>22</v>
      </c>
      <c r="C4" s="29" t="n">
        <v>763</v>
      </c>
    </row>
    <row r="5" customFormat="false" ht="14.25" hidden="false" customHeight="false" outlineLevel="0" collapsed="false">
      <c r="B5" s="10" t="s">
        <v>23</v>
      </c>
      <c r="C5" s="33" t="s">
        <v>51</v>
      </c>
    </row>
    <row r="6" customFormat="false" ht="14.25" hidden="false" customHeight="false" outlineLevel="0" collapsed="false">
      <c r="B6" s="10" t="s">
        <v>25</v>
      </c>
      <c r="C6" s="10" t="n">
        <v>15.4</v>
      </c>
    </row>
    <row r="7" customFormat="false" ht="14.25" hidden="false" customHeight="false" outlineLevel="0" collapsed="false">
      <c r="B7" s="10" t="s">
        <v>26</v>
      </c>
      <c r="C7" s="10" t="n">
        <v>14.3</v>
      </c>
    </row>
    <row r="8" customFormat="false" ht="14.25" hidden="false" customHeight="false" outlineLevel="0" collapsed="false">
      <c r="B8" s="10" t="s">
        <v>27</v>
      </c>
      <c r="C8" s="10" t="n">
        <v>2.04</v>
      </c>
    </row>
    <row r="9" customFormat="false" ht="14.25" hidden="false" customHeight="false" outlineLevel="0" collapsed="false">
      <c r="B9" s="10" t="s">
        <v>28</v>
      </c>
      <c r="C9" s="31" t="n">
        <v>0.0704</v>
      </c>
    </row>
    <row r="10" customFormat="false" ht="14.25" hidden="false" customHeight="false" outlineLevel="0" collapsed="false">
      <c r="B10" s="10" t="s">
        <v>29</v>
      </c>
      <c r="C10" s="31" t="n">
        <v>0.138</v>
      </c>
    </row>
    <row r="11" customFormat="false" ht="14.25" hidden="false" customHeight="false" outlineLevel="0" collapsed="false">
      <c r="B11" s="10" t="s">
        <v>30</v>
      </c>
      <c r="C11" s="32" t="n">
        <v>49.4</v>
      </c>
    </row>
    <row r="12" customFormat="false" ht="14.25" hidden="false" customHeight="false" outlineLevel="0" collapsed="false">
      <c r="B12" s="10" t="s">
        <v>31</v>
      </c>
      <c r="C12" s="10" t="n">
        <v>6.34</v>
      </c>
    </row>
    <row r="13" customFormat="false" ht="14.25" hidden="false" customHeight="false" outlineLevel="0" collapsed="false">
      <c r="B13" s="10" t="s">
        <v>32</v>
      </c>
      <c r="C13" s="10" t="n">
        <v>1.55</v>
      </c>
    </row>
    <row r="14" customFormat="false" ht="14.25" hidden="false" customHeight="false" outlineLevel="0" collapsed="false">
      <c r="B14" s="10" t="s">
        <v>33</v>
      </c>
      <c r="C14" s="10" t="n">
        <v>0</v>
      </c>
    </row>
    <row r="15" customFormat="false" ht="14.25" hidden="false" customHeight="false" outlineLevel="0" collapsed="false">
      <c r="B15" s="10" t="s">
        <v>34</v>
      </c>
      <c r="C15" s="33" t="s">
        <v>52</v>
      </c>
    </row>
    <row r="16" customFormat="false" ht="14.25" hidden="false" customHeight="false" outlineLevel="0" collapsed="false">
      <c r="B16" s="10" t="s">
        <v>36</v>
      </c>
      <c r="C16" s="33" t="s">
        <v>53</v>
      </c>
    </row>
    <row r="17" customFormat="false" ht="14.25" hidden="false" customHeight="false" outlineLevel="0" collapsed="false">
      <c r="B17" s="10" t="s">
        <v>38</v>
      </c>
      <c r="C17" s="31" t="n">
        <v>0.0364</v>
      </c>
    </row>
    <row r="18" customFormat="false" ht="14.25" hidden="false" customHeight="false" outlineLevel="0" collapsed="false">
      <c r="B18" s="10" t="s">
        <v>39</v>
      </c>
      <c r="C18" s="31" t="n">
        <v>0.269</v>
      </c>
    </row>
    <row r="19" customFormat="false" ht="14.25" hidden="false" customHeight="false" outlineLevel="0" collapsed="false">
      <c r="B19" s="10" t="s">
        <v>40</v>
      </c>
      <c r="C19" s="31" t="n">
        <v>0.0757</v>
      </c>
    </row>
    <row r="20" customFormat="false" ht="14.25" hidden="false" customHeight="false" outlineLevel="0" collapsed="false">
      <c r="B20" s="10" t="s">
        <v>41</v>
      </c>
      <c r="C20" s="31" t="n">
        <v>-0.169</v>
      </c>
    </row>
    <row r="21" customFormat="false" ht="14.25" hidden="false" customHeight="false" outlineLevel="0" collapsed="false">
      <c r="B21" s="10" t="s">
        <v>42</v>
      </c>
      <c r="C21" s="31" t="n">
        <v>-0.238</v>
      </c>
    </row>
    <row r="22" customFormat="false" ht="14.25" hidden="false" customHeight="false" outlineLevel="0" collapsed="false">
      <c r="B22" s="10" t="s">
        <v>43</v>
      </c>
      <c r="C22" s="33" t="s">
        <v>54</v>
      </c>
    </row>
    <row r="23" customFormat="false" ht="14.25" hidden="false" customHeight="false" outlineLevel="0" collapsed="false">
      <c r="B23" s="10" t="s">
        <v>45</v>
      </c>
      <c r="C23" s="31" t="n">
        <v>0.253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8.89453125" defaultRowHeight="14.25" customHeight="false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1" width="32.66"/>
    <col collapsed="false" customWidth="true" hidden="false" outlineLevel="0" max="3" min="3" style="1" width="43"/>
    <col collapsed="false" customWidth="false" hidden="false" outlineLevel="0" max="16384" min="4" style="1" width="8.89"/>
  </cols>
  <sheetData>
    <row r="2" customFormat="false" ht="17.35" hidden="false" customHeight="false" outlineLevel="0" collapsed="false">
      <c r="B2" s="36" t="s">
        <v>55</v>
      </c>
    </row>
    <row r="3" customFormat="false" ht="14.25" hidden="false" customHeight="false" outlineLevel="0" collapsed="false">
      <c r="B3" s="28" t="s">
        <v>20</v>
      </c>
      <c r="C3" s="28" t="s">
        <v>21</v>
      </c>
    </row>
    <row r="4" customFormat="false" ht="14.25" hidden="false" customHeight="false" outlineLevel="0" collapsed="false">
      <c r="B4" s="10" t="s">
        <v>22</v>
      </c>
      <c r="C4" s="29" t="n">
        <v>2188</v>
      </c>
    </row>
    <row r="5" customFormat="false" ht="14.25" hidden="false" customHeight="false" outlineLevel="0" collapsed="false">
      <c r="B5" s="10" t="s">
        <v>23</v>
      </c>
      <c r="C5" s="33" t="s">
        <v>56</v>
      </c>
    </row>
    <row r="6" customFormat="false" ht="14.25" hidden="false" customHeight="false" outlineLevel="0" collapsed="false">
      <c r="B6" s="10" t="s">
        <v>25</v>
      </c>
      <c r="C6" s="10" t="n">
        <v>44.6</v>
      </c>
    </row>
    <row r="7" customFormat="false" ht="14.25" hidden="false" customHeight="false" outlineLevel="0" collapsed="false">
      <c r="B7" s="10" t="s">
        <v>26</v>
      </c>
      <c r="C7" s="10" t="n">
        <v>44.6</v>
      </c>
    </row>
    <row r="8" customFormat="false" ht="14.25" hidden="false" customHeight="false" outlineLevel="0" collapsed="false">
      <c r="B8" s="10" t="s">
        <v>27</v>
      </c>
      <c r="C8" s="10" t="n">
        <v>37.6</v>
      </c>
    </row>
    <row r="9" customFormat="false" ht="14.25" hidden="false" customHeight="false" outlineLevel="0" collapsed="false">
      <c r="B9" s="10" t="s">
        <v>28</v>
      </c>
      <c r="C9" s="31" t="n">
        <v>1.05</v>
      </c>
    </row>
    <row r="10" customFormat="false" ht="14.25" hidden="false" customHeight="false" outlineLevel="0" collapsed="false">
      <c r="B10" s="10" t="s">
        <v>29</v>
      </c>
      <c r="C10" s="31" t="n">
        <v>0.812</v>
      </c>
    </row>
    <row r="11" customFormat="false" ht="14.25" hidden="false" customHeight="false" outlineLevel="0" collapsed="false">
      <c r="B11" s="10" t="s">
        <v>30</v>
      </c>
      <c r="C11" s="32" t="n">
        <v>48.8</v>
      </c>
    </row>
    <row r="12" customFormat="false" ht="14.25" hidden="false" customHeight="false" outlineLevel="0" collapsed="false">
      <c r="B12" s="10" t="s">
        <v>31</v>
      </c>
      <c r="C12" s="10" t="n">
        <v>0.04</v>
      </c>
    </row>
    <row r="13" customFormat="false" ht="14.25" hidden="false" customHeight="false" outlineLevel="0" collapsed="false">
      <c r="B13" s="10" t="s">
        <v>32</v>
      </c>
      <c r="C13" s="10" t="n">
        <v>443</v>
      </c>
    </row>
    <row r="14" customFormat="false" ht="14.25" hidden="false" customHeight="false" outlineLevel="0" collapsed="false">
      <c r="B14" s="10" t="s">
        <v>33</v>
      </c>
      <c r="C14" s="37" t="n">
        <v>0.51</v>
      </c>
    </row>
    <row r="15" customFormat="false" ht="14.25" hidden="false" customHeight="false" outlineLevel="0" collapsed="false">
      <c r="B15" s="10" t="s">
        <v>34</v>
      </c>
      <c r="C15" s="33" t="s">
        <v>57</v>
      </c>
    </row>
    <row r="16" customFormat="false" ht="14.25" hidden="false" customHeight="false" outlineLevel="0" collapsed="false">
      <c r="B16" s="10" t="s">
        <v>36</v>
      </c>
      <c r="C16" s="33" t="s">
        <v>58</v>
      </c>
    </row>
    <row r="17" customFormat="false" ht="14.25" hidden="false" customHeight="false" outlineLevel="0" collapsed="false">
      <c r="B17" s="10" t="s">
        <v>38</v>
      </c>
      <c r="C17" s="31" t="n">
        <v>-0.0273</v>
      </c>
    </row>
    <row r="18" customFormat="false" ht="14.25" hidden="false" customHeight="false" outlineLevel="0" collapsed="false">
      <c r="B18" s="10" t="s">
        <v>39</v>
      </c>
      <c r="C18" s="31" t="n">
        <v>0.058</v>
      </c>
    </row>
    <row r="19" customFormat="false" ht="14.25" hidden="false" customHeight="false" outlineLevel="0" collapsed="false">
      <c r="B19" s="10" t="s">
        <v>40</v>
      </c>
      <c r="C19" s="31" t="n">
        <v>-0.0879</v>
      </c>
    </row>
    <row r="20" customFormat="false" ht="14.25" hidden="false" customHeight="false" outlineLevel="0" collapsed="false">
      <c r="B20" s="10" t="s">
        <v>41</v>
      </c>
      <c r="C20" s="31" t="n">
        <v>-0.0071</v>
      </c>
    </row>
    <row r="21" customFormat="false" ht="14.25" hidden="false" customHeight="false" outlineLevel="0" collapsed="false">
      <c r="B21" s="10" t="s">
        <v>42</v>
      </c>
      <c r="C21" s="31" t="n">
        <v>0.0039</v>
      </c>
    </row>
    <row r="22" customFormat="false" ht="14.25" hidden="false" customHeight="false" outlineLevel="0" collapsed="false">
      <c r="B22" s="10" t="s">
        <v>43</v>
      </c>
      <c r="C22" s="30" t="s">
        <v>59</v>
      </c>
    </row>
    <row r="23" customFormat="false" ht="14.25" hidden="false" customHeight="false" outlineLevel="0" collapsed="false">
      <c r="B23" s="10" t="s">
        <v>45</v>
      </c>
      <c r="C23" s="31" t="n">
        <v>0.197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M13" activeCellId="0" sqref="M13"/>
    </sheetView>
  </sheetViews>
  <sheetFormatPr defaultColWidth="8.89453125" defaultRowHeight="14.25" customHeight="false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1" width="41.33"/>
    <col collapsed="false" customWidth="true" hidden="false" outlineLevel="0" max="3" min="3" style="1" width="28.31"/>
    <col collapsed="false" customWidth="true" hidden="false" outlineLevel="0" max="4" min="4" style="1" width="26.56"/>
    <col collapsed="false" customWidth="true" hidden="false" outlineLevel="0" max="5" min="5" style="1" width="25.79"/>
    <col collapsed="false" customWidth="true" hidden="false" outlineLevel="0" max="6" min="6" style="1" width="23.47"/>
    <col collapsed="false" customWidth="true" hidden="false" outlineLevel="0" max="7" min="7" style="1" width="14.1"/>
    <col collapsed="false" customWidth="false" hidden="false" outlineLevel="0" max="16384" min="8" style="1" width="8.89"/>
  </cols>
  <sheetData>
    <row r="2" customFormat="false" ht="14.25" hidden="false" customHeight="false" outlineLevel="0" collapsed="false">
      <c r="B2" s="38" t="s">
        <v>60</v>
      </c>
      <c r="C2" s="38" t="s">
        <v>19</v>
      </c>
      <c r="D2" s="38" t="s">
        <v>11</v>
      </c>
      <c r="E2" s="38" t="s">
        <v>13</v>
      </c>
      <c r="F2" s="38" t="s">
        <v>55</v>
      </c>
      <c r="G2" s="39" t="s">
        <v>61</v>
      </c>
    </row>
    <row r="3" customFormat="false" ht="14.25" hidden="false" customHeight="false" outlineLevel="0" collapsed="false">
      <c r="B3" s="39" t="s">
        <v>20</v>
      </c>
      <c r="C3" s="39" t="s">
        <v>21</v>
      </c>
      <c r="D3" s="39" t="s">
        <v>21</v>
      </c>
      <c r="E3" s="39" t="s">
        <v>21</v>
      </c>
      <c r="F3" s="39" t="s">
        <v>21</v>
      </c>
      <c r="G3" s="39"/>
    </row>
    <row r="4" customFormat="false" ht="14.25" hidden="false" customHeight="false" outlineLevel="0" collapsed="false">
      <c r="B4" s="10" t="s">
        <v>22</v>
      </c>
      <c r="C4" s="29" t="n">
        <v>853</v>
      </c>
      <c r="D4" s="40" t="n">
        <v>42.2</v>
      </c>
      <c r="E4" s="29" t="n">
        <v>763</v>
      </c>
      <c r="F4" s="29" t="n">
        <v>2188</v>
      </c>
      <c r="G4" s="41" t="s">
        <v>62</v>
      </c>
    </row>
    <row r="5" customFormat="false" ht="14.25" hidden="false" customHeight="false" outlineLevel="0" collapsed="false">
      <c r="B5" s="10" t="s">
        <v>23</v>
      </c>
      <c r="C5" s="30" t="s">
        <v>24</v>
      </c>
      <c r="D5" s="30" t="s">
        <v>47</v>
      </c>
      <c r="E5" s="33" t="s">
        <v>51</v>
      </c>
      <c r="F5" s="33" t="s">
        <v>56</v>
      </c>
      <c r="G5" s="41" t="s">
        <v>62</v>
      </c>
    </row>
    <row r="6" customFormat="false" ht="14.25" hidden="false" customHeight="false" outlineLevel="0" collapsed="false">
      <c r="B6" s="10" t="s">
        <v>25</v>
      </c>
      <c r="C6" s="42" t="n">
        <v>27.4</v>
      </c>
      <c r="D6" s="43" t="n">
        <v>20.9</v>
      </c>
      <c r="E6" s="44" t="n">
        <v>15.4</v>
      </c>
      <c r="F6" s="10" t="n">
        <v>44.6</v>
      </c>
      <c r="G6" s="41" t="s">
        <v>63</v>
      </c>
    </row>
    <row r="7" customFormat="false" ht="14.25" hidden="false" customHeight="false" outlineLevel="0" collapsed="false">
      <c r="B7" s="10" t="s">
        <v>26</v>
      </c>
      <c r="C7" s="10" t="n">
        <v>20.4</v>
      </c>
      <c r="D7" s="10" t="n">
        <v>25.5</v>
      </c>
      <c r="E7" s="10" t="n">
        <v>14.3</v>
      </c>
      <c r="F7" s="10" t="n">
        <v>44.6</v>
      </c>
      <c r="G7" s="41" t="s">
        <v>62</v>
      </c>
    </row>
    <row r="8" customFormat="false" ht="14.25" hidden="false" customHeight="false" outlineLevel="0" collapsed="false">
      <c r="B8" s="10" t="s">
        <v>27</v>
      </c>
      <c r="C8" s="42" t="n">
        <v>4</v>
      </c>
      <c r="D8" s="43" t="n">
        <v>2.07</v>
      </c>
      <c r="E8" s="45" t="n">
        <v>2.04</v>
      </c>
      <c r="F8" s="42" t="n">
        <v>37.6</v>
      </c>
      <c r="G8" s="41" t="s">
        <v>64</v>
      </c>
    </row>
    <row r="9" customFormat="false" ht="14.25" hidden="false" customHeight="false" outlineLevel="0" collapsed="false">
      <c r="B9" s="10" t="s">
        <v>28</v>
      </c>
      <c r="C9" s="31" t="n">
        <v>0.126</v>
      </c>
      <c r="D9" s="31" t="n">
        <v>0.134</v>
      </c>
      <c r="E9" s="46" t="n">
        <v>0.0704</v>
      </c>
      <c r="F9" s="47" t="n">
        <v>1.05</v>
      </c>
      <c r="G9" s="41" t="s">
        <v>65</v>
      </c>
    </row>
    <row r="10" customFormat="false" ht="14.25" hidden="false" customHeight="false" outlineLevel="0" collapsed="false">
      <c r="B10" s="10" t="s">
        <v>29</v>
      </c>
      <c r="C10" s="31" t="n">
        <v>0.156</v>
      </c>
      <c r="D10" s="46" t="n">
        <v>0.105</v>
      </c>
      <c r="E10" s="31" t="n">
        <v>0.138</v>
      </c>
      <c r="F10" s="47" t="n">
        <v>0.812</v>
      </c>
      <c r="G10" s="41" t="s">
        <v>66</v>
      </c>
    </row>
    <row r="11" customFormat="false" ht="14.25" hidden="false" customHeight="false" outlineLevel="0" collapsed="false">
      <c r="B11" s="10" t="s">
        <v>30</v>
      </c>
      <c r="C11" s="32" t="n">
        <v>31.1</v>
      </c>
      <c r="D11" s="32" t="n">
        <v>1.98</v>
      </c>
      <c r="E11" s="32" t="n">
        <v>49.4</v>
      </c>
      <c r="F11" s="32" t="n">
        <v>48.8</v>
      </c>
      <c r="G11" s="41" t="s">
        <v>67</v>
      </c>
    </row>
    <row r="12" customFormat="false" ht="14.25" hidden="false" customHeight="false" outlineLevel="0" collapsed="false">
      <c r="B12" s="10" t="s">
        <v>31</v>
      </c>
      <c r="C12" s="10" t="n">
        <v>1.65</v>
      </c>
      <c r="D12" s="43" t="n">
        <v>0.11</v>
      </c>
      <c r="E12" s="42" t="n">
        <v>6.34</v>
      </c>
      <c r="F12" s="43" t="n">
        <v>0.04</v>
      </c>
      <c r="G12" s="41" t="s">
        <v>68</v>
      </c>
    </row>
    <row r="13" customFormat="false" ht="14.25" hidden="false" customHeight="false" outlineLevel="0" collapsed="false">
      <c r="B13" s="10" t="s">
        <v>32</v>
      </c>
      <c r="C13" s="42" t="n">
        <v>2.84</v>
      </c>
      <c r="D13" s="43" t="n">
        <v>13.8</v>
      </c>
      <c r="E13" s="42" t="n">
        <v>1.55</v>
      </c>
      <c r="F13" s="10" t="n">
        <v>443</v>
      </c>
      <c r="G13" s="41" t="s">
        <v>69</v>
      </c>
    </row>
    <row r="14" customFormat="false" ht="14.25" hidden="false" customHeight="false" outlineLevel="0" collapsed="false">
      <c r="B14" s="10" t="s">
        <v>33</v>
      </c>
      <c r="C14" s="31" t="n">
        <v>0.675</v>
      </c>
      <c r="D14" s="48" t="n">
        <v>0.51</v>
      </c>
      <c r="E14" s="42" t="n">
        <v>0</v>
      </c>
      <c r="F14" s="37" t="n">
        <v>0.51</v>
      </c>
      <c r="G14" s="41" t="s">
        <v>70</v>
      </c>
    </row>
    <row r="15" customFormat="false" ht="14.25" hidden="false" customHeight="false" outlineLevel="0" collapsed="false">
      <c r="B15" s="10" t="s">
        <v>34</v>
      </c>
      <c r="C15" s="33" t="s">
        <v>35</v>
      </c>
      <c r="D15" s="33" t="s">
        <v>48</v>
      </c>
      <c r="E15" s="33" t="s">
        <v>52</v>
      </c>
      <c r="F15" s="33" t="s">
        <v>57</v>
      </c>
      <c r="G15" s="41" t="s">
        <v>62</v>
      </c>
    </row>
    <row r="16" customFormat="false" ht="14.25" hidden="false" customHeight="false" outlineLevel="0" collapsed="false">
      <c r="B16" s="10" t="s">
        <v>36</v>
      </c>
      <c r="C16" s="33" t="s">
        <v>37</v>
      </c>
      <c r="D16" s="33" t="s">
        <v>49</v>
      </c>
      <c r="E16" s="33" t="s">
        <v>53</v>
      </c>
      <c r="F16" s="33" t="s">
        <v>58</v>
      </c>
      <c r="G16" s="41" t="s">
        <v>62</v>
      </c>
    </row>
    <row r="17" customFormat="false" ht="14.25" hidden="false" customHeight="false" outlineLevel="0" collapsed="false">
      <c r="B17" s="10" t="s">
        <v>38</v>
      </c>
      <c r="C17" s="47" t="n">
        <v>0.124</v>
      </c>
      <c r="D17" s="47" t="n">
        <v>0.291</v>
      </c>
      <c r="E17" s="46" t="n">
        <v>0.0364</v>
      </c>
      <c r="F17" s="46" t="n">
        <v>-0.0273</v>
      </c>
      <c r="G17" s="41" t="s">
        <v>66</v>
      </c>
    </row>
    <row r="18" customFormat="false" ht="14.25" hidden="false" customHeight="false" outlineLevel="0" collapsed="false">
      <c r="B18" s="10" t="s">
        <v>39</v>
      </c>
      <c r="C18" s="47" t="n">
        <v>0.309</v>
      </c>
      <c r="D18" s="31" t="n">
        <v>0.195</v>
      </c>
      <c r="E18" s="49" t="n">
        <v>0.269</v>
      </c>
      <c r="F18" s="46" t="n">
        <v>0.058</v>
      </c>
      <c r="G18" s="41" t="s">
        <v>66</v>
      </c>
    </row>
    <row r="19" customFormat="false" ht="14.25" hidden="false" customHeight="false" outlineLevel="0" collapsed="false">
      <c r="B19" s="10" t="s">
        <v>40</v>
      </c>
      <c r="C19" s="46" t="n">
        <v>-0.253</v>
      </c>
      <c r="D19" s="47" t="n">
        <v>0.74</v>
      </c>
      <c r="E19" s="48" t="n">
        <v>0.0757</v>
      </c>
      <c r="F19" s="46" t="n">
        <v>-0.0879</v>
      </c>
      <c r="G19" s="41" t="s">
        <v>66</v>
      </c>
    </row>
    <row r="20" customFormat="false" ht="14.25" hidden="false" customHeight="false" outlineLevel="0" collapsed="false">
      <c r="B20" s="10" t="s">
        <v>41</v>
      </c>
      <c r="C20" s="47" t="n">
        <v>0.0702</v>
      </c>
      <c r="D20" s="46" t="n">
        <v>-0.0945</v>
      </c>
      <c r="E20" s="46" t="n">
        <v>-0.169</v>
      </c>
      <c r="F20" s="46" t="n">
        <v>-0.0071</v>
      </c>
      <c r="G20" s="41" t="s">
        <v>71</v>
      </c>
    </row>
    <row r="21" customFormat="false" ht="14.25" hidden="false" customHeight="false" outlineLevel="0" collapsed="false">
      <c r="B21" s="10" t="s">
        <v>42</v>
      </c>
      <c r="C21" s="31" t="n">
        <v>-0.124</v>
      </c>
      <c r="D21" s="31" t="n">
        <v>-0.167</v>
      </c>
      <c r="E21" s="46" t="n">
        <v>-0.238</v>
      </c>
      <c r="F21" s="49" t="n">
        <v>0.0039</v>
      </c>
      <c r="G21" s="41" t="s">
        <v>71</v>
      </c>
    </row>
    <row r="22" customFormat="false" ht="14.25" hidden="false" customHeight="false" outlineLevel="0" collapsed="false">
      <c r="B22" s="10" t="s">
        <v>43</v>
      </c>
      <c r="C22" s="33" t="s">
        <v>44</v>
      </c>
      <c r="D22" s="33" t="s">
        <v>50</v>
      </c>
      <c r="E22" s="33" t="s">
        <v>54</v>
      </c>
      <c r="F22" s="30" t="s">
        <v>59</v>
      </c>
      <c r="G22" s="41" t="s">
        <v>62</v>
      </c>
    </row>
    <row r="23" customFormat="false" ht="14.25" hidden="false" customHeight="false" outlineLevel="0" collapsed="false">
      <c r="B23" s="10" t="s">
        <v>45</v>
      </c>
      <c r="C23" s="31" t="n">
        <v>0.225</v>
      </c>
      <c r="D23" s="46" t="n">
        <v>0.271</v>
      </c>
      <c r="E23" s="31" t="n">
        <v>0.253</v>
      </c>
      <c r="F23" s="31" t="n">
        <v>0.197</v>
      </c>
      <c r="G23" s="41" t="s">
        <v>62</v>
      </c>
    </row>
    <row r="24" customFormat="false" ht="14.25" hidden="false" customHeight="false" outlineLevel="0" collapsed="false">
      <c r="B24" s="10" t="s">
        <v>72</v>
      </c>
      <c r="C24" s="50" t="s">
        <v>73</v>
      </c>
      <c r="D24" s="51" t="s">
        <v>74</v>
      </c>
      <c r="E24" s="50" t="s">
        <v>75</v>
      </c>
      <c r="F24" s="51" t="s">
        <v>76</v>
      </c>
      <c r="G24" s="41"/>
    </row>
  </sheetData>
  <mergeCells count="1">
    <mergeCell ref="G2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E26" activeCellId="0" sqref="E26"/>
    </sheetView>
  </sheetViews>
  <sheetFormatPr defaultColWidth="8.89453125" defaultRowHeight="14.25" customHeight="false" zeroHeight="false" outlineLevelRow="0" outlineLevelCol="0"/>
  <cols>
    <col collapsed="false" customWidth="true" hidden="false" outlineLevel="0" max="1" min="1" style="1" width="4.01"/>
    <col collapsed="false" customWidth="true" hidden="false" outlineLevel="0" max="2" min="2" style="1" width="39.12"/>
    <col collapsed="false" customWidth="true" hidden="false" outlineLevel="0" max="3" min="3" style="1" width="28.1"/>
    <col collapsed="false" customWidth="true" hidden="false" outlineLevel="0" max="4" min="4" style="1" width="22.23"/>
    <col collapsed="false" customWidth="true" hidden="false" outlineLevel="0" max="5" min="5" style="1" width="67.17"/>
    <col collapsed="false" customWidth="true" hidden="false" outlineLevel="0" max="6" min="6" style="1" width="15"/>
    <col collapsed="false" customWidth="true" hidden="false" outlineLevel="0" max="7" min="7" style="1" width="13.11"/>
    <col collapsed="false" customWidth="true" hidden="false" outlineLevel="0" max="8" min="8" style="1" width="11.33"/>
    <col collapsed="false" customWidth="true" hidden="false" outlineLevel="0" max="9" min="9" style="1" width="9"/>
    <col collapsed="false" customWidth="false" hidden="false" outlineLevel="0" max="16384" min="10" style="1" width="8.89"/>
  </cols>
  <sheetData>
    <row r="2" customFormat="false" ht="17.35" hidden="false" customHeight="false" outlineLevel="0" collapsed="false">
      <c r="B2" s="36" t="s">
        <v>77</v>
      </c>
    </row>
    <row r="3" customFormat="false" ht="14.25" hidden="false" customHeight="false" outlineLevel="0" collapsed="false">
      <c r="B3" s="6" t="s">
        <v>78</v>
      </c>
      <c r="C3" s="6" t="s">
        <v>79</v>
      </c>
    </row>
    <row r="4" customFormat="false" ht="14.25" hidden="false" customHeight="false" outlineLevel="0" collapsed="false">
      <c r="B4" s="10" t="s">
        <v>80</v>
      </c>
      <c r="C4" s="29" t="n">
        <v>200000</v>
      </c>
    </row>
    <row r="5" customFormat="false" ht="14.25" hidden="false" customHeight="false" outlineLevel="0" collapsed="false">
      <c r="B5" s="10" t="s">
        <v>81</v>
      </c>
      <c r="C5" s="29" t="n">
        <v>80000</v>
      </c>
    </row>
    <row r="6" customFormat="false" ht="14.25" hidden="false" customHeight="false" outlineLevel="0" collapsed="false">
      <c r="B6" s="10" t="s">
        <v>55</v>
      </c>
      <c r="C6" s="29" t="n">
        <v>80000</v>
      </c>
    </row>
    <row r="7" customFormat="false" ht="14.25" hidden="false" customHeight="false" outlineLevel="0" collapsed="false">
      <c r="B7" s="10" t="s">
        <v>82</v>
      </c>
      <c r="C7" s="29" t="n">
        <v>40000</v>
      </c>
    </row>
    <row r="8" customFormat="false" ht="14.25" hidden="false" customHeight="false" outlineLevel="0" collapsed="false">
      <c r="B8" s="52"/>
      <c r="C8" s="53"/>
    </row>
    <row r="9" customFormat="false" ht="17.35" hidden="false" customHeight="false" outlineLevel="0" collapsed="false">
      <c r="B9" s="36" t="s">
        <v>83</v>
      </c>
    </row>
    <row r="10" customFormat="false" ht="14.25" hidden="false" customHeight="false" outlineLevel="0" collapsed="false">
      <c r="B10" s="6" t="s">
        <v>84</v>
      </c>
      <c r="C10" s="6" t="s">
        <v>85</v>
      </c>
      <c r="D10" s="7" t="s">
        <v>86</v>
      </c>
      <c r="E10" s="9" t="s">
        <v>87</v>
      </c>
    </row>
    <row r="11" customFormat="false" ht="14.25" hidden="false" customHeight="false" outlineLevel="0" collapsed="false">
      <c r="B11" s="10" t="s">
        <v>19</v>
      </c>
      <c r="C11" s="10" t="s">
        <v>88</v>
      </c>
      <c r="D11" s="30" t="n">
        <v>0</v>
      </c>
      <c r="E11" s="54" t="s">
        <v>89</v>
      </c>
    </row>
    <row r="12" customFormat="false" ht="14.25" hidden="false" customHeight="false" outlineLevel="0" collapsed="false">
      <c r="B12" s="10" t="s">
        <v>46</v>
      </c>
      <c r="C12" s="10" t="s">
        <v>90</v>
      </c>
      <c r="D12" s="30" t="n">
        <v>80000</v>
      </c>
      <c r="E12" s="54" t="s">
        <v>91</v>
      </c>
    </row>
    <row r="13" customFormat="false" ht="14.25" hidden="false" customHeight="false" outlineLevel="0" collapsed="false">
      <c r="B13" s="10" t="s">
        <v>13</v>
      </c>
      <c r="C13" s="10" t="s">
        <v>88</v>
      </c>
      <c r="D13" s="30" t="n">
        <v>0</v>
      </c>
      <c r="E13" s="55" t="s">
        <v>92</v>
      </c>
    </row>
    <row r="14" customFormat="false" ht="14.25" hidden="false" customHeight="false" outlineLevel="0" collapsed="false">
      <c r="B14" s="10" t="s">
        <v>55</v>
      </c>
      <c r="C14" s="10" t="s">
        <v>88</v>
      </c>
      <c r="D14" s="30" t="n">
        <v>80000</v>
      </c>
      <c r="E14" s="56" t="s">
        <v>93</v>
      </c>
    </row>
    <row r="15" customFormat="false" ht="14.25" hidden="false" customHeight="false" outlineLevel="0" collapsed="false">
      <c r="B15" s="10" t="s">
        <v>82</v>
      </c>
      <c r="C15" s="10" t="s">
        <v>94</v>
      </c>
      <c r="D15" s="30" t="n">
        <v>40000</v>
      </c>
      <c r="E15" s="56" t="s">
        <v>95</v>
      </c>
    </row>
    <row r="17" customFormat="false" ht="14.25" hidden="false" customHeight="false" outlineLevel="0" collapsed="false">
      <c r="B17" s="6" t="s">
        <v>1</v>
      </c>
      <c r="C17" s="6" t="s">
        <v>2</v>
      </c>
      <c r="D17" s="7" t="s">
        <v>96</v>
      </c>
      <c r="E17" s="9" t="s">
        <v>97</v>
      </c>
      <c r="F17" s="7" t="s">
        <v>98</v>
      </c>
      <c r="G17" s="9" t="s">
        <v>5</v>
      </c>
      <c r="H17" s="6" t="s">
        <v>6</v>
      </c>
      <c r="I17" s="6" t="s">
        <v>7</v>
      </c>
    </row>
    <row r="18" customFormat="false" ht="14.25" hidden="false" customHeight="false" outlineLevel="0" collapsed="false">
      <c r="B18" s="10" t="s">
        <v>8</v>
      </c>
      <c r="C18" s="10" t="s">
        <v>9</v>
      </c>
      <c r="D18" s="11" t="n">
        <v>100000</v>
      </c>
      <c r="E18" s="57" t="n">
        <v>0</v>
      </c>
      <c r="F18" s="11" t="n">
        <f aca="false">D18+E18</f>
        <v>100000</v>
      </c>
      <c r="G18" s="14" t="n">
        <v>96000</v>
      </c>
      <c r="H18" s="14" t="n">
        <f aca="false">G18-F18</f>
        <v>-4000</v>
      </c>
      <c r="I18" s="15" t="s">
        <v>10</v>
      </c>
    </row>
    <row r="19" customFormat="false" ht="14.25" hidden="false" customHeight="false" outlineLevel="0" collapsed="false">
      <c r="B19" s="10" t="s">
        <v>11</v>
      </c>
      <c r="C19" s="10" t="s">
        <v>12</v>
      </c>
      <c r="D19" s="11" t="n">
        <v>100000</v>
      </c>
      <c r="E19" s="57" t="n">
        <v>80000</v>
      </c>
      <c r="F19" s="11" t="n">
        <f aca="false">D19+E19</f>
        <v>180000</v>
      </c>
      <c r="G19" s="14" t="n">
        <v>166000</v>
      </c>
      <c r="H19" s="14" t="n">
        <f aca="false">G19-F19</f>
        <v>-14000</v>
      </c>
      <c r="I19" s="15" t="s">
        <v>10</v>
      </c>
    </row>
    <row r="20" customFormat="false" ht="14.25" hidden="false" customHeight="false" outlineLevel="0" collapsed="false">
      <c r="B20" s="10" t="s">
        <v>13</v>
      </c>
      <c r="C20" s="10" t="s">
        <v>14</v>
      </c>
      <c r="D20" s="11" t="n">
        <v>100000</v>
      </c>
      <c r="E20" s="57" t="n">
        <v>0</v>
      </c>
      <c r="F20" s="11" t="n">
        <f aca="false">D20+E20</f>
        <v>100000</v>
      </c>
      <c r="G20" s="17" t="n">
        <v>101000</v>
      </c>
      <c r="H20" s="17" t="n">
        <f aca="false">G20-F20</f>
        <v>1000</v>
      </c>
      <c r="I20" s="18" t="s">
        <v>15</v>
      </c>
    </row>
    <row r="21" customFormat="false" ht="14.25" hidden="false" customHeight="false" outlineLevel="0" collapsed="false">
      <c r="B21" s="10" t="s">
        <v>55</v>
      </c>
      <c r="C21" s="10" t="s">
        <v>99</v>
      </c>
      <c r="D21" s="1" t="n">
        <v>0</v>
      </c>
      <c r="E21" s="11" t="n">
        <v>80000</v>
      </c>
      <c r="F21" s="11" t="n">
        <f aca="false">D21+E21</f>
        <v>80000</v>
      </c>
      <c r="G21" s="11" t="n">
        <v>79904</v>
      </c>
      <c r="H21" s="58" t="n">
        <f aca="false">G21-F21</f>
        <v>-96</v>
      </c>
      <c r="I21" s="15" t="s">
        <v>10</v>
      </c>
    </row>
    <row r="22" customFormat="false" ht="14.25" hidden="false" customHeight="false" outlineLevel="0" collapsed="false">
      <c r="B22" s="10" t="s">
        <v>82</v>
      </c>
      <c r="C22" s="10"/>
      <c r="D22" s="11" t="n">
        <v>40000</v>
      </c>
      <c r="E22" s="10"/>
      <c r="F22" s="11" t="n">
        <v>40000</v>
      </c>
      <c r="G22" s="10"/>
      <c r="H22" s="10"/>
      <c r="I22" s="10"/>
    </row>
    <row r="23" customFormat="false" ht="14.25" hidden="false" customHeight="false" outlineLevel="0" collapsed="false">
      <c r="B23" s="10"/>
      <c r="C23" s="19" t="s">
        <v>16</v>
      </c>
      <c r="D23" s="20" t="n">
        <f aca="false">SUM(D18:D22)</f>
        <v>340000</v>
      </c>
      <c r="E23" s="20"/>
      <c r="F23" s="20" t="n">
        <f aca="false">SUM(F18:F22)</f>
        <v>500000</v>
      </c>
      <c r="G23" s="20" t="n">
        <f aca="false">SUM(G18:G21)</f>
        <v>442904</v>
      </c>
      <c r="H23" s="20" t="n">
        <f aca="false">SUM(H18:H21)</f>
        <v>-17096</v>
      </c>
      <c r="I23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I7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G10" activeCellId="0" sqref="G10"/>
    </sheetView>
  </sheetViews>
  <sheetFormatPr defaultColWidth="8.89453125" defaultRowHeight="14.25" customHeight="false" zeroHeight="false" outlineLevelRow="0" outlineLevelCol="0"/>
  <cols>
    <col collapsed="false" customWidth="true" hidden="false" outlineLevel="0" max="1" min="1" style="1" width="4.53"/>
    <col collapsed="false" customWidth="true" hidden="false" outlineLevel="0" max="2" min="2" style="1" width="29.25"/>
    <col collapsed="false" customWidth="true" hidden="false" outlineLevel="0" max="3" min="3" style="1" width="14.25"/>
    <col collapsed="false" customWidth="true" hidden="false" outlineLevel="0" max="4" min="4" style="1" width="17.45"/>
    <col collapsed="false" customWidth="true" hidden="false" outlineLevel="0" max="5" min="5" style="59" width="18.77"/>
    <col collapsed="false" customWidth="true" hidden="false" outlineLevel="0" max="6" min="6" style="59" width="19"/>
    <col collapsed="false" customWidth="true" hidden="false" outlineLevel="0" max="7" min="7" style="3" width="12.8"/>
    <col collapsed="false" customWidth="true" hidden="false" outlineLevel="0" max="8" min="8" style="1" width="23.19"/>
    <col collapsed="false" customWidth="true" hidden="false" outlineLevel="0" max="9" min="9" style="1" width="59.04"/>
    <col collapsed="false" customWidth="false" hidden="false" outlineLevel="0" max="16384" min="10" style="1" width="8.89"/>
  </cols>
  <sheetData>
    <row r="3" customFormat="false" ht="14.25" hidden="false" customHeight="false" outlineLevel="0" collapsed="false">
      <c r="B3" s="6" t="s">
        <v>1</v>
      </c>
      <c r="C3" s="6" t="s">
        <v>2</v>
      </c>
      <c r="D3" s="7" t="s">
        <v>96</v>
      </c>
      <c r="E3" s="7" t="s">
        <v>100</v>
      </c>
      <c r="F3" s="7" t="s">
        <v>101</v>
      </c>
      <c r="G3" s="7" t="s">
        <v>102</v>
      </c>
      <c r="H3" s="7" t="s">
        <v>72</v>
      </c>
      <c r="I3" s="7" t="s">
        <v>103</v>
      </c>
    </row>
    <row r="4" customFormat="false" ht="14.25" hidden="false" customHeight="false" outlineLevel="0" collapsed="false">
      <c r="B4" s="10" t="s">
        <v>8</v>
      </c>
      <c r="C4" s="10" t="s">
        <v>9</v>
      </c>
      <c r="D4" s="11" t="n">
        <v>100000</v>
      </c>
      <c r="E4" s="60" t="n">
        <v>852.2</v>
      </c>
      <c r="F4" s="60" t="n">
        <v>851</v>
      </c>
      <c r="G4" s="61" t="n">
        <f aca="false">(F4-E4)</f>
        <v>-1.20000000000005</v>
      </c>
      <c r="H4" s="60" t="s">
        <v>104</v>
      </c>
      <c r="I4" s="10" t="s">
        <v>105</v>
      </c>
    </row>
    <row r="5" customFormat="false" ht="14.25" hidden="false" customHeight="false" outlineLevel="0" collapsed="false">
      <c r="B5" s="10" t="s">
        <v>11</v>
      </c>
      <c r="C5" s="10" t="s">
        <v>12</v>
      </c>
      <c r="D5" s="11" t="n">
        <v>220000</v>
      </c>
      <c r="E5" s="60" t="n">
        <v>42.92</v>
      </c>
      <c r="F5" s="60" t="n">
        <v>42.2</v>
      </c>
      <c r="G5" s="61" t="n">
        <f aca="false">(F5-E5)</f>
        <v>-0.719999999999999</v>
      </c>
      <c r="H5" s="60" t="s">
        <v>106</v>
      </c>
      <c r="I5" s="10" t="s">
        <v>107</v>
      </c>
    </row>
    <row r="6" customFormat="false" ht="14.25" hidden="false" customHeight="false" outlineLevel="0" collapsed="false">
      <c r="B6" s="10" t="s">
        <v>13</v>
      </c>
      <c r="C6" s="10" t="s">
        <v>14</v>
      </c>
      <c r="D6" s="11" t="n">
        <v>100000</v>
      </c>
      <c r="E6" s="60" t="n">
        <v>768.5</v>
      </c>
      <c r="F6" s="60" t="n">
        <v>754.85</v>
      </c>
      <c r="G6" s="61" t="n">
        <f aca="false">(F6-E6)</f>
        <v>-13.65</v>
      </c>
      <c r="H6" s="60" t="s">
        <v>104</v>
      </c>
      <c r="I6" s="10" t="s">
        <v>108</v>
      </c>
    </row>
    <row r="7" customFormat="false" ht="14.25" hidden="false" customHeight="false" outlineLevel="0" collapsed="false">
      <c r="B7" s="10" t="s">
        <v>55</v>
      </c>
      <c r="C7" s="10" t="s">
        <v>99</v>
      </c>
      <c r="D7" s="11" t="n">
        <v>80000</v>
      </c>
      <c r="E7" s="60" t="n">
        <v>2160</v>
      </c>
      <c r="F7" s="60" t="n">
        <v>2157.4</v>
      </c>
      <c r="G7" s="61" t="n">
        <f aca="false">(F7-E7)</f>
        <v>-2.59999999999991</v>
      </c>
      <c r="H7" s="60" t="s">
        <v>109</v>
      </c>
      <c r="I7" s="10" t="s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2026-05-19T04:43:45Z</dcterms:created>
  <dc:creator>Simaran Shaikh</dc:creator>
  <dc:description/>
  <dc:language>en-IN</dc:language>
  <cp:lastModifiedBy/>
  <cp:lastPrinted>2026-05-20T03:26:02Z</cp:lastPrinted>
  <dcterms:modified xsi:type="dcterms:W3CDTF">2026-05-20T13:52:15Z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