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ther's Portfolio" sheetId="1" state="visible" r:id="rId3"/>
    <sheet name="Father's Analysis" sheetId="2" state="visible" r:id="rId4"/>
    <sheet name="Mother's Portfolio" sheetId="3" state="visible" r:id="rId5"/>
    <sheet name="Mother's analysis" sheetId="4" state="visible" r:id="rId6"/>
    <sheet name="Son's Portfolio" sheetId="5" state="visible" r:id="rId7"/>
    <sheet name="Son's Analysis" sheetId="6" state="visible" r:id="rId8"/>
    <sheet name="Consolidated Funds Of Famil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<sst xmlns="http://schemas.openxmlformats.org/spreadsheetml/2006/main" count="356" uniqueCount="79">
  <si>
    <t xml:space="preserve">Father</t>
  </si>
  <si>
    <t xml:space="preserve">Sr.No</t>
  </si>
  <si>
    <t xml:space="preserve">Scheme</t>
  </si>
  <si>
    <t xml:space="preserve">Fund Category</t>
  </si>
  <si>
    <t xml:space="preserve">Invested</t>
  </si>
  <si>
    <t xml:space="preserve">Current Value</t>
  </si>
  <si>
    <t xml:space="preserve">P&amp;L</t>
  </si>
  <si>
    <t xml:space="preserve">P&amp;L %</t>
  </si>
  <si>
    <t xml:space="preserve">Fund Ratings</t>
  </si>
  <si>
    <t xml:space="preserve">3 year Return</t>
  </si>
  <si>
    <t xml:space="preserve">Risk Level</t>
  </si>
  <si>
    <t xml:space="preserve">Expense Ratio</t>
  </si>
  <si>
    <t xml:space="preserve">Nippon India ETF Nifty Bees</t>
  </si>
  <si>
    <t xml:space="preserve">Large Cap</t>
  </si>
  <si>
    <t xml:space="preserve">Unrated</t>
  </si>
  <si>
    <t xml:space="preserve">Very High</t>
  </si>
  <si>
    <t xml:space="preserve">HDFC Corporate Bond</t>
  </si>
  <si>
    <t xml:space="preserve">AAA</t>
  </si>
  <si>
    <t xml:space="preserve">Moderate</t>
  </si>
  <si>
    <t xml:space="preserve">Parag Parikh Flexicap</t>
  </si>
  <si>
    <t xml:space="preserve">Zerodha Gold ETF (2yrs Returns)</t>
  </si>
  <si>
    <t xml:space="preserve">High</t>
  </si>
  <si>
    <t xml:space="preserve">Zerodha Liquid ETF (2yr Returns)</t>
  </si>
  <si>
    <t xml:space="preserve">Cash Equivalent</t>
  </si>
  <si>
    <t xml:space="preserve">Low</t>
  </si>
  <si>
    <t xml:space="preserve">Nippon India ETF 1D Rate Liquid bees</t>
  </si>
  <si>
    <t xml:space="preserve">ABSL Flexicap</t>
  </si>
  <si>
    <t xml:space="preserve">HDFC Smallcap</t>
  </si>
  <si>
    <t xml:space="preserve">Small Cap</t>
  </si>
  <si>
    <t xml:space="preserve">Kotak Smallcap</t>
  </si>
  <si>
    <t xml:space="preserve">Nippon Nifty AAA PSU Bond Plus SDL - Sep 2026 Maturiy Index fund</t>
  </si>
  <si>
    <t xml:space="preserve">Nippon India Smallcap</t>
  </si>
  <si>
    <t xml:space="preserve">SBI Flexicap</t>
  </si>
  <si>
    <t xml:space="preserve">SBI Midcap</t>
  </si>
  <si>
    <t xml:space="preserve">Mid Cap</t>
  </si>
  <si>
    <t xml:space="preserve">HDFC Flexicap</t>
  </si>
  <si>
    <t xml:space="preserve">ABSL Large cap fund</t>
  </si>
  <si>
    <t xml:space="preserve">ABSL Multi Asset Allocation</t>
  </si>
  <si>
    <t xml:space="preserve">Total</t>
  </si>
  <si>
    <t xml:space="preserve">Total </t>
  </si>
  <si>
    <t xml:space="preserve">Debt (AAA/Bonds)</t>
  </si>
  <si>
    <t xml:space="preserve">Liquid</t>
  </si>
  <si>
    <t xml:space="preserve">Gold</t>
  </si>
  <si>
    <t xml:space="preserve">Ideal</t>
  </si>
  <si>
    <t xml:space="preserve">Actual</t>
  </si>
  <si>
    <t xml:space="preserve">Recommended</t>
  </si>
  <si>
    <t xml:space="preserve">Gap</t>
  </si>
  <si>
    <t xml:space="preserve">Mother</t>
  </si>
  <si>
    <t xml:space="preserve">Kotak Pioneer Fund</t>
  </si>
  <si>
    <t xml:space="preserve">Large Cap Fund</t>
  </si>
  <si>
    <t xml:space="preserve">HDFC Midcap</t>
  </si>
  <si>
    <t xml:space="preserve">Middle Cap Fund</t>
  </si>
  <si>
    <t xml:space="preserve">ICICI Pru Value Fund</t>
  </si>
  <si>
    <t xml:space="preserve">ICICI Pru Nifty 50 Index Fund</t>
  </si>
  <si>
    <t xml:space="preserve">Small Cap Fund</t>
  </si>
  <si>
    <t xml:space="preserve">Son</t>
  </si>
  <si>
    <t xml:space="preserve">Nippon Nifty 50 ETF Bees</t>
  </si>
  <si>
    <t xml:space="preserve">ICICI Pru Nifty 50 Index fund</t>
  </si>
  <si>
    <t xml:space="preserve">Nippon India Gold ETF</t>
  </si>
  <si>
    <t xml:space="preserve">Asset (Commodity)</t>
  </si>
  <si>
    <t xml:space="preserve">Gold (Commodity)</t>
  </si>
  <si>
    <t xml:space="preserve">Member</t>
  </si>
  <si>
    <t xml:space="preserve">Total Invested</t>
  </si>
  <si>
    <t xml:space="preserve">Overall Returns</t>
  </si>
  <si>
    <t xml:space="preserve">Goal</t>
  </si>
  <si>
    <t xml:space="preserve">Gap to Goal</t>
  </si>
  <si>
    <t xml:space="preserve">Retirement income ₹ 1.2 L/Month</t>
  </si>
  <si>
    <t xml:space="preserve">Grow To ₹ 50 L</t>
  </si>
  <si>
    <t xml:space="preserve">Family Total</t>
  </si>
  <si>
    <t xml:space="preserve">SWP Feasibility of Parent's</t>
  </si>
  <si>
    <t xml:space="preserve">Amount</t>
  </si>
  <si>
    <t xml:space="preserve">Father + Mother Combined Current Value</t>
  </si>
  <si>
    <t xml:space="preserve">Required Corpus for ₹ 1.2L/Month @6% SWP</t>
  </si>
  <si>
    <t xml:space="preserve">Current Shortfall</t>
  </si>
  <si>
    <t xml:space="preserve">Son's Goal Tracker</t>
  </si>
  <si>
    <t xml:space="preserve">Current Corpus</t>
  </si>
  <si>
    <t xml:space="preserve">Target</t>
  </si>
  <si>
    <t xml:space="preserve">Required CARG to Reach ₹50L in 4 years</t>
  </si>
  <si>
    <t xml:space="preserve">Required CARG to Reach ₹50L in 5 years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</si>
</sst>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₹ &quot;#,##0"/>
    <numFmt numFmtId="166" formatCode="0.00%"/>
    <numFmt numFmtId="167" formatCode="0%"/>
    <numFmt numFmtId="168" formatCode="#,##0"/>
    <numFmt numFmtId="169" formatCode="&quot;₹ &quot;#,##0;[RED]&quot;₹ -&quot;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color rgb="FFC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C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7"/>
        <bgColor rgb="FFFF9900"/>
      </patternFill>
    </fill>
    <fill>
      <patternFill patternType="solid">
        <fgColor theme="7" tint="0.5999"/>
        <bgColor rgb="FFFFCC99"/>
      </patternFill>
    </fill>
    <fill>
      <patternFill patternType="solid">
        <fgColor theme="5"/>
        <bgColor rgb="FFFF8080"/>
      </patternFill>
    </fill>
    <fill>
      <patternFill patternType="solid">
        <fgColor theme="9" tint="0.5999"/>
        <bgColor rgb="FFA9D18E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C5E0B4"/>
      </patternFill>
    </fill>
    <fill>
      <patternFill patternType="solid">
        <fgColor theme="4" tint="-0.25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2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2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4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8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7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B2:L11" headerRowCount="1" totalsRowCount="0" totalsRowShown="0">
  <autoFilter ref="B2:L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Sr.No"/>
    <tableColumn id="2" name="Scheme"/>
    <tableColumn id="3" name="Fund Category"/>
    <tableColumn id="4" name="Invested"/>
    <tableColumn id="5" name="Current Value"/>
    <tableColumn id="6" name="P&amp;L"/>
    <tableColumn id="7" name="P&amp;L %"/>
    <tableColumn id="8" name="Fund Ratings"/>
    <tableColumn id="9" name="3 year Return"/>
    <tableColumn id="10" name="Risk Level"/>
    <tableColumn id="11" name="Expense Ratio"/>
  </tableColumns>
</table>
</file>

<file path=xl/tables/table2.xml><?xml version="1.0" encoding="utf-8"?>
<table xmlns="http://schemas.openxmlformats.org/spreadsheetml/2006/main" id="2" name="Table2" displayName="Table2" ref="B2:L7" headerRowCount="1" totalsRowCount="0" totalsRowShown="0">
  <tableColumns count="11">
    <tableColumn id="1" name="Sr.No"/>
    <tableColumn id="2" name="Scheme"/>
    <tableColumn id="3" name="Fund Category"/>
    <tableColumn id="4" name="Invested"/>
    <tableColumn id="5" name="Current Value"/>
    <tableColumn id="6" name="P&amp;L"/>
    <tableColumn id="7" name="P&amp;L %"/>
    <tableColumn id="8" name="Fund Ratings"/>
    <tableColumn id="9" name="3 year Return"/>
    <tableColumn id="10" name="Risk Level"/>
    <tableColumn id="11" name="Expense Ratio"/>
  </tableColumns>
</table>
</file>

<file path=xl/tables/table3.xml><?xml version="1.0" encoding="utf-8"?>
<table xmlns="http://schemas.openxmlformats.org/spreadsheetml/2006/main" id="3" name="Table3" displayName="Table3" ref="B2:L19" headerRowCount="1" totalsRowCount="0" totalsRowShown="0">
  <autoFilter ref="B2:L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Sr.No"/>
    <tableColumn id="2" name="Scheme"/>
    <tableColumn id="3" name="Fund Category"/>
    <tableColumn id="4" name="Invested"/>
    <tableColumn id="5" name="Current Value"/>
    <tableColumn id="6" name="P&amp;L"/>
    <tableColumn id="7" name="P&amp;L %"/>
    <tableColumn id="8" name="Fund Ratings"/>
    <tableColumn id="9" name="3 year Return"/>
    <tableColumn id="10" name="Risk Level"/>
    <tableColumn id="11" name="Expense Ratio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4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9" activeCellId="0" sqref="B19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3.22"/>
    <col collapsed="false" customWidth="true" hidden="false" outlineLevel="0" max="2" min="2" style="1" width="7.56"/>
    <col collapsed="false" customWidth="true" hidden="false" outlineLevel="0" max="3" min="3" style="1" width="56.44"/>
    <col collapsed="false" customWidth="true" hidden="false" outlineLevel="0" max="4" min="4" style="1" width="13.88"/>
    <col collapsed="false" customWidth="true" hidden="false" outlineLevel="0" max="5" min="5" style="1" width="12.67"/>
    <col collapsed="false" customWidth="true" hidden="false" outlineLevel="0" max="6" min="6" style="1" width="14.44"/>
    <col collapsed="false" customWidth="true" hidden="false" outlineLevel="0" max="7" min="7" style="1" width="11.33"/>
    <col collapsed="false" customWidth="true" hidden="false" outlineLevel="0" max="8" min="8" style="1" width="12.67"/>
    <col collapsed="false" customWidth="true" hidden="false" outlineLevel="0" max="9" min="9" style="2" width="13.67"/>
    <col collapsed="false" customWidth="true" hidden="false" outlineLevel="0" max="10" min="10" style="2" width="14.11"/>
    <col collapsed="false" customWidth="true" hidden="false" outlineLevel="0" max="11" min="11" style="3" width="11.33"/>
    <col collapsed="false" customWidth="true" hidden="false" outlineLevel="0" max="12" min="12" style="2" width="14.56"/>
    <col collapsed="false" customWidth="false" hidden="false" outlineLevel="0" max="16384" min="13" style="1" width="8.88"/>
  </cols>
  <sheetData>
    <row r="1" customFormat="false" ht="14.25" hidden="false" customHeight="false" outlineLevel="0" collapsed="false">
      <c r="C1" s="4" t="s">
        <v>0</v>
      </c>
      <c r="D1" s="4"/>
    </row>
    <row r="2" customFormat="false" ht="14.25" hidden="false" customHeight="false" outlineLevel="0" collapsed="false">
      <c r="B2" s="5" t="s">
        <v>1</v>
      </c>
      <c r="C2" s="5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</row>
    <row r="3" customFormat="false" ht="14.25" hidden="false" customHeight="false" outlineLevel="0" collapsed="false">
      <c r="B3" s="7" t="n">
        <v>1</v>
      </c>
      <c r="C3" s="7" t="s">
        <v>12</v>
      </c>
      <c r="D3" s="7" t="s">
        <v>13</v>
      </c>
      <c r="E3" s="8" t="n">
        <v>1213020</v>
      </c>
      <c r="F3" s="8" t="n">
        <v>1280966</v>
      </c>
      <c r="G3" s="8" t="n">
        <v>67946</v>
      </c>
      <c r="H3" s="9" t="n">
        <v>0.056</v>
      </c>
      <c r="I3" s="10" t="s">
        <v>14</v>
      </c>
      <c r="J3" s="10" t="n">
        <v>9.95</v>
      </c>
      <c r="K3" s="11" t="s">
        <v>15</v>
      </c>
      <c r="L3" s="10" t="n">
        <v>0.04</v>
      </c>
    </row>
    <row r="4" customFormat="false" ht="14.25" hidden="false" customHeight="false" outlineLevel="0" collapsed="false">
      <c r="B4" s="7" t="n">
        <v>2</v>
      </c>
      <c r="C4" s="7" t="s">
        <v>16</v>
      </c>
      <c r="D4" s="7" t="s">
        <v>17</v>
      </c>
      <c r="E4" s="8" t="n">
        <v>1000000</v>
      </c>
      <c r="F4" s="8" t="n">
        <v>1024979</v>
      </c>
      <c r="G4" s="8" t="n">
        <v>24979</v>
      </c>
      <c r="H4" s="9" t="n">
        <v>0.025</v>
      </c>
      <c r="I4" s="10" t="n">
        <v>3</v>
      </c>
      <c r="J4" s="10" t="n">
        <v>6.99</v>
      </c>
      <c r="K4" s="11" t="s">
        <v>18</v>
      </c>
      <c r="L4" s="10" t="n">
        <v>0.38</v>
      </c>
    </row>
    <row r="5" customFormat="false" ht="14.25" hidden="false" customHeight="false" outlineLevel="0" collapsed="false">
      <c r="B5" s="7" t="n">
        <v>3</v>
      </c>
      <c r="C5" s="7" t="s">
        <v>19</v>
      </c>
      <c r="D5" s="7" t="s">
        <v>13</v>
      </c>
      <c r="E5" s="8" t="n">
        <v>504341</v>
      </c>
      <c r="F5" s="8" t="n">
        <v>504493</v>
      </c>
      <c r="G5" s="8" t="n">
        <v>152</v>
      </c>
      <c r="H5" s="9" t="n">
        <v>0</v>
      </c>
      <c r="I5" s="10" t="n">
        <v>5</v>
      </c>
      <c r="J5" s="10" t="n">
        <v>16.88</v>
      </c>
      <c r="K5" s="11" t="s">
        <v>15</v>
      </c>
      <c r="L5" s="10" t="n">
        <v>0.77</v>
      </c>
    </row>
    <row r="6" customFormat="false" ht="14.25" hidden="false" customHeight="false" outlineLevel="0" collapsed="false">
      <c r="B6" s="7" t="n">
        <v>4</v>
      </c>
      <c r="C6" s="7" t="s">
        <v>20</v>
      </c>
      <c r="D6" s="7" t="s">
        <v>14</v>
      </c>
      <c r="E6" s="8" t="n">
        <v>250000</v>
      </c>
      <c r="F6" s="8" t="n">
        <v>462594</v>
      </c>
      <c r="G6" s="8" t="n">
        <v>212594</v>
      </c>
      <c r="H6" s="9" t="n">
        <v>0.85</v>
      </c>
      <c r="I6" s="10" t="s">
        <v>14</v>
      </c>
      <c r="J6" s="10" t="n">
        <v>45.66</v>
      </c>
      <c r="K6" s="11" t="s">
        <v>21</v>
      </c>
      <c r="L6" s="10" t="n">
        <v>0.35</v>
      </c>
    </row>
    <row r="7" customFormat="false" ht="14.25" hidden="false" customHeight="false" outlineLevel="0" collapsed="false">
      <c r="B7" s="7" t="n">
        <v>5</v>
      </c>
      <c r="C7" s="7" t="s">
        <v>22</v>
      </c>
      <c r="D7" s="7" t="s">
        <v>23</v>
      </c>
      <c r="E7" s="8" t="n">
        <v>26000</v>
      </c>
      <c r="F7" s="8" t="n">
        <v>26616</v>
      </c>
      <c r="G7" s="8" t="n">
        <v>616</v>
      </c>
      <c r="H7" s="9" t="n">
        <v>0.024</v>
      </c>
      <c r="I7" s="10" t="s">
        <v>14</v>
      </c>
      <c r="J7" s="10" t="n">
        <v>5.66</v>
      </c>
      <c r="K7" s="11" t="s">
        <v>24</v>
      </c>
      <c r="L7" s="10" t="n">
        <v>0.28</v>
      </c>
    </row>
    <row r="8" customFormat="false" ht="14.25" hidden="false" customHeight="false" outlineLevel="0" collapsed="false">
      <c r="B8" s="7" t="n">
        <v>6</v>
      </c>
      <c r="C8" s="7" t="s">
        <v>25</v>
      </c>
      <c r="D8" s="7" t="s">
        <v>23</v>
      </c>
      <c r="E8" s="8" t="n">
        <v>1600</v>
      </c>
      <c r="F8" s="8" t="n">
        <v>1646</v>
      </c>
      <c r="G8" s="8" t="n">
        <v>46</v>
      </c>
      <c r="H8" s="9" t="n">
        <v>0.029</v>
      </c>
      <c r="I8" s="10" t="s">
        <v>14</v>
      </c>
      <c r="J8" s="10" t="n">
        <v>5.36</v>
      </c>
      <c r="K8" s="11" t="s">
        <v>24</v>
      </c>
      <c r="L8" s="10" t="n">
        <v>0.69</v>
      </c>
    </row>
    <row r="9" customFormat="false" ht="14.25" hidden="false" customHeight="false" outlineLevel="0" collapsed="false">
      <c r="B9" s="7" t="n">
        <v>7</v>
      </c>
      <c r="C9" s="7" t="s">
        <v>26</v>
      </c>
      <c r="D9" s="7" t="s">
        <v>13</v>
      </c>
      <c r="E9" s="8" t="n">
        <v>431141</v>
      </c>
      <c r="F9" s="8" t="n">
        <v>902376</v>
      </c>
      <c r="G9" s="8" t="n">
        <v>471235</v>
      </c>
      <c r="H9" s="9" t="n">
        <v>1.093</v>
      </c>
      <c r="I9" s="10" t="n">
        <v>4</v>
      </c>
      <c r="J9" s="10" t="n">
        <v>17.59</v>
      </c>
      <c r="K9" s="11" t="s">
        <v>15</v>
      </c>
      <c r="L9" s="10" t="n">
        <v>56.23</v>
      </c>
    </row>
    <row r="10" customFormat="false" ht="14.25" hidden="false" customHeight="false" outlineLevel="0" collapsed="false">
      <c r="B10" s="7" t="n">
        <v>8</v>
      </c>
      <c r="C10" s="7" t="s">
        <v>27</v>
      </c>
      <c r="D10" s="7" t="s">
        <v>28</v>
      </c>
      <c r="E10" s="8" t="n">
        <v>170946</v>
      </c>
      <c r="F10" s="8" t="n">
        <v>321959</v>
      </c>
      <c r="G10" s="8" t="n">
        <v>151013</v>
      </c>
      <c r="H10" s="9" t="n">
        <v>0.883</v>
      </c>
      <c r="I10" s="10" t="n">
        <v>4</v>
      </c>
      <c r="J10" s="10" t="n">
        <v>16.13</v>
      </c>
      <c r="K10" s="11" t="s">
        <v>15</v>
      </c>
      <c r="L10" s="10" t="n">
        <v>0.85</v>
      </c>
    </row>
    <row r="11" customFormat="false" ht="14.25" hidden="false" customHeight="false" outlineLevel="0" collapsed="false">
      <c r="B11" s="7" t="n">
        <v>9</v>
      </c>
      <c r="C11" s="7" t="s">
        <v>29</v>
      </c>
      <c r="D11" s="7" t="s">
        <v>28</v>
      </c>
      <c r="E11" s="8" t="n">
        <v>245000</v>
      </c>
      <c r="F11" s="8" t="n">
        <v>398867</v>
      </c>
      <c r="G11" s="8" t="n">
        <v>153867</v>
      </c>
      <c r="H11" s="9" t="n">
        <v>0.628</v>
      </c>
      <c r="I11" s="10" t="n">
        <v>2</v>
      </c>
      <c r="J11" s="10" t="n">
        <v>15.94</v>
      </c>
      <c r="K11" s="11" t="s">
        <v>15</v>
      </c>
      <c r="L11" s="10" t="n">
        <v>0.6</v>
      </c>
    </row>
    <row r="12" customFormat="false" ht="14.25" hidden="false" customHeight="false" outlineLevel="0" collapsed="false">
      <c r="B12" s="7" t="n">
        <v>10</v>
      </c>
      <c r="C12" s="7" t="s">
        <v>30</v>
      </c>
      <c r="D12" s="7" t="s">
        <v>17</v>
      </c>
      <c r="E12" s="8" t="n">
        <v>400000</v>
      </c>
      <c r="F12" s="8" t="n">
        <v>501195</v>
      </c>
      <c r="G12" s="8" t="n">
        <v>101195</v>
      </c>
      <c r="H12" s="9" t="n">
        <v>0.253</v>
      </c>
      <c r="I12" s="10" t="s">
        <v>14</v>
      </c>
      <c r="J12" s="10" t="n">
        <v>7.16</v>
      </c>
      <c r="K12" s="11" t="s">
        <v>24</v>
      </c>
      <c r="L12" s="10" t="n">
        <v>0.2</v>
      </c>
    </row>
    <row r="13" customFormat="false" ht="14.25" hidden="false" customHeight="false" outlineLevel="0" collapsed="false">
      <c r="B13" s="7" t="n">
        <v>11</v>
      </c>
      <c r="C13" s="7" t="s">
        <v>31</v>
      </c>
      <c r="D13" s="7" t="s">
        <v>28</v>
      </c>
      <c r="E13" s="8" t="n">
        <v>2433390</v>
      </c>
      <c r="F13" s="8" t="n">
        <v>6851526</v>
      </c>
      <c r="G13" s="8" t="n">
        <v>4418136</v>
      </c>
      <c r="H13" s="9" t="n">
        <v>1.816</v>
      </c>
      <c r="I13" s="10" t="n">
        <v>4</v>
      </c>
      <c r="J13" s="10" t="n">
        <v>21.05</v>
      </c>
      <c r="K13" s="11" t="s">
        <v>15</v>
      </c>
      <c r="L13" s="10" t="n">
        <v>0.65</v>
      </c>
    </row>
    <row r="14" customFormat="false" ht="14.25" hidden="false" customHeight="false" outlineLevel="0" collapsed="false">
      <c r="B14" s="7" t="n">
        <v>12</v>
      </c>
      <c r="C14" s="7" t="s">
        <v>32</v>
      </c>
      <c r="D14" s="7" t="s">
        <v>13</v>
      </c>
      <c r="E14" s="8" t="n">
        <v>126333</v>
      </c>
      <c r="F14" s="8" t="n">
        <v>200972</v>
      </c>
      <c r="G14" s="8" t="n">
        <v>74639</v>
      </c>
      <c r="H14" s="9" t="n">
        <v>0.591</v>
      </c>
      <c r="I14" s="10" t="n">
        <v>3</v>
      </c>
      <c r="J14" s="10" t="n">
        <v>10.91</v>
      </c>
      <c r="K14" s="11" t="s">
        <v>15</v>
      </c>
      <c r="L14" s="10" t="n">
        <v>1.49</v>
      </c>
    </row>
    <row r="15" customFormat="false" ht="14.25" hidden="false" customHeight="false" outlineLevel="0" collapsed="false">
      <c r="B15" s="7" t="n">
        <v>13</v>
      </c>
      <c r="C15" s="7" t="s">
        <v>33</v>
      </c>
      <c r="D15" s="7" t="s">
        <v>34</v>
      </c>
      <c r="E15" s="8" t="n">
        <v>255000</v>
      </c>
      <c r="F15" s="8" t="n">
        <v>460858</v>
      </c>
      <c r="G15" s="8" t="n">
        <v>205858</v>
      </c>
      <c r="H15" s="9" t="n">
        <v>0.807</v>
      </c>
      <c r="I15" s="10" t="n">
        <v>3</v>
      </c>
      <c r="J15" s="10" t="n">
        <v>15.63</v>
      </c>
      <c r="K15" s="11" t="s">
        <v>15</v>
      </c>
      <c r="L15" s="10" t="n">
        <v>0.85</v>
      </c>
    </row>
    <row r="16" customFormat="false" ht="14.25" hidden="false" customHeight="false" outlineLevel="0" collapsed="false">
      <c r="B16" s="7" t="n">
        <v>14</v>
      </c>
      <c r="C16" s="7" t="s">
        <v>35</v>
      </c>
      <c r="D16" s="7" t="s">
        <v>13</v>
      </c>
      <c r="E16" s="8" t="n">
        <v>134393</v>
      </c>
      <c r="F16" s="8" t="n">
        <v>500000</v>
      </c>
      <c r="G16" s="8" t="n">
        <v>365607</v>
      </c>
      <c r="H16" s="9" t="n">
        <v>2.72</v>
      </c>
      <c r="I16" s="10" t="n">
        <v>5</v>
      </c>
      <c r="J16" s="10" t="n">
        <v>18.59</v>
      </c>
      <c r="K16" s="11" t="s">
        <v>15</v>
      </c>
      <c r="L16" s="10" t="n">
        <v>0.67</v>
      </c>
    </row>
    <row r="17" customFormat="false" ht="14.25" hidden="false" customHeight="false" outlineLevel="0" collapsed="false">
      <c r="B17" s="7" t="n">
        <v>15</v>
      </c>
      <c r="C17" s="7" t="s">
        <v>36</v>
      </c>
      <c r="D17" s="7" t="s">
        <v>13</v>
      </c>
      <c r="E17" s="8" t="n">
        <v>513478</v>
      </c>
      <c r="F17" s="8" t="n">
        <v>1493402</v>
      </c>
      <c r="G17" s="8" t="n">
        <v>979924</v>
      </c>
      <c r="H17" s="9" t="n">
        <v>1.908</v>
      </c>
      <c r="I17" s="10" t="n">
        <v>4</v>
      </c>
      <c r="J17" s="10" t="n">
        <v>12.37</v>
      </c>
      <c r="K17" s="11" t="s">
        <v>15</v>
      </c>
      <c r="L17" s="10" t="n">
        <v>0.95</v>
      </c>
    </row>
    <row r="18" customFormat="false" ht="14.25" hidden="false" customHeight="false" outlineLevel="0" collapsed="false">
      <c r="B18" s="7" t="n">
        <v>16</v>
      </c>
      <c r="C18" s="7" t="s">
        <v>37</v>
      </c>
      <c r="D18" s="7" t="s">
        <v>13</v>
      </c>
      <c r="E18" s="8" t="n">
        <v>100500</v>
      </c>
      <c r="F18" s="8" t="n">
        <v>176184</v>
      </c>
      <c r="G18" s="8" t="n">
        <v>75684</v>
      </c>
      <c r="H18" s="9" t="n">
        <v>0.753</v>
      </c>
      <c r="I18" s="10" t="n">
        <v>4</v>
      </c>
      <c r="J18" s="10" t="n">
        <v>18.33</v>
      </c>
      <c r="K18" s="11" t="s">
        <v>15</v>
      </c>
      <c r="L18" s="10" t="n">
        <v>1.12</v>
      </c>
    </row>
    <row r="19" customFormat="false" ht="14.25" hidden="false" customHeight="false" outlineLevel="0" collapsed="false">
      <c r="B19" s="7"/>
      <c r="C19" s="12" t="s">
        <v>38</v>
      </c>
      <c r="D19" s="12"/>
      <c r="E19" s="13" t="n">
        <v>7805142</v>
      </c>
      <c r="F19" s="13" t="n">
        <v>15108633</v>
      </c>
      <c r="G19" s="13" t="n">
        <v>7303491</v>
      </c>
      <c r="H19" s="14"/>
      <c r="I19" s="15"/>
      <c r="J19" s="15"/>
      <c r="K19" s="16"/>
      <c r="L19" s="15"/>
    </row>
    <row r="22" customFormat="false" ht="14.25" hidden="false" customHeight="false" outlineLevel="0" collapsed="false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customFormat="false" ht="14.25" hidden="false" customHeight="false" outlineLevel="0" collapsed="false">
      <c r="E23" s="18"/>
      <c r="F23" s="18"/>
      <c r="G23" s="18"/>
      <c r="H23" s="19"/>
    </row>
    <row r="24" customFormat="false" ht="14.25" hidden="false" customHeight="false" outlineLevel="0" collapsed="false">
      <c r="E24" s="18"/>
      <c r="F24" s="18"/>
      <c r="G24" s="18"/>
      <c r="H24" s="19"/>
    </row>
    <row r="25" customFormat="false" ht="14.25" hidden="false" customHeight="false" outlineLevel="0" collapsed="false">
      <c r="E25" s="18"/>
      <c r="F25" s="18"/>
      <c r="G25" s="17"/>
      <c r="H25" s="19"/>
    </row>
    <row r="26" customFormat="false" ht="14.25" hidden="false" customHeight="false" outlineLevel="0" collapsed="false">
      <c r="E26" s="18"/>
      <c r="F26" s="18"/>
      <c r="G26" s="18"/>
      <c r="H26" s="19"/>
    </row>
    <row r="27" customFormat="false" ht="14.25" hidden="false" customHeight="false" outlineLevel="0" collapsed="false">
      <c r="E27" s="18"/>
      <c r="F27" s="18"/>
      <c r="G27" s="17"/>
      <c r="H27" s="19"/>
    </row>
    <row r="28" customFormat="false" ht="14.25" hidden="false" customHeight="false" outlineLevel="0" collapsed="false">
      <c r="E28" s="18"/>
      <c r="F28" s="18"/>
      <c r="G28" s="17"/>
      <c r="H28" s="19"/>
    </row>
    <row r="29" customFormat="false" ht="14.25" hidden="false" customHeight="false" outlineLevel="0" collapsed="false">
      <c r="E29" s="18"/>
      <c r="F29" s="18"/>
      <c r="G29" s="18"/>
      <c r="H29" s="19"/>
    </row>
    <row r="30" customFormat="false" ht="14.25" hidden="false" customHeight="false" outlineLevel="0" collapsed="false">
      <c r="E30" s="18"/>
      <c r="F30" s="18"/>
      <c r="G30" s="18"/>
      <c r="H30" s="19"/>
    </row>
    <row r="31" customFormat="false" ht="14.25" hidden="false" customHeight="false" outlineLevel="0" collapsed="false">
      <c r="E31" s="18"/>
      <c r="F31" s="18"/>
      <c r="G31" s="18"/>
      <c r="H31" s="19"/>
    </row>
    <row r="32" customFormat="false" ht="14.25" hidden="false" customHeight="false" outlineLevel="0" collapsed="false">
      <c r="E32" s="18"/>
      <c r="F32" s="18"/>
      <c r="G32" s="18"/>
      <c r="H32" s="19"/>
    </row>
    <row r="33" customFormat="false" ht="14.25" hidden="false" customHeight="false" outlineLevel="0" collapsed="false">
      <c r="E33" s="18"/>
      <c r="F33" s="18"/>
      <c r="G33" s="18"/>
      <c r="H33" s="19"/>
    </row>
    <row r="34" customFormat="false" ht="14.25" hidden="false" customHeight="false" outlineLevel="0" collapsed="false">
      <c r="E34" s="18"/>
      <c r="F34" s="18"/>
      <c r="G34" s="18"/>
      <c r="H34" s="19"/>
    </row>
    <row r="35" customFormat="false" ht="14.25" hidden="false" customHeight="false" outlineLevel="0" collapsed="false">
      <c r="E35" s="18"/>
      <c r="F35" s="18"/>
      <c r="G35" s="18"/>
      <c r="H35" s="19"/>
    </row>
    <row r="36" customFormat="false" ht="14.25" hidden="false" customHeight="false" outlineLevel="0" collapsed="false">
      <c r="E36" s="18"/>
      <c r="F36" s="18"/>
      <c r="G36" s="18"/>
      <c r="H36" s="19"/>
    </row>
    <row r="37" customFormat="false" ht="14.25" hidden="false" customHeight="false" outlineLevel="0" collapsed="false">
      <c r="E37" s="18"/>
      <c r="F37" s="18"/>
      <c r="G37" s="18"/>
      <c r="H37" s="19"/>
    </row>
    <row r="38" customFormat="false" ht="14.25" hidden="false" customHeight="false" outlineLevel="0" collapsed="false">
      <c r="E38" s="18"/>
      <c r="F38" s="18"/>
      <c r="G38" s="18"/>
      <c r="H38" s="19"/>
    </row>
    <row r="39" customFormat="false" ht="14.25" hidden="false" customHeight="false" outlineLevel="0" collapsed="false">
      <c r="C39" s="4"/>
      <c r="D39" s="4"/>
      <c r="E39" s="20"/>
      <c r="F39" s="20"/>
      <c r="G39" s="20"/>
      <c r="H39" s="21"/>
    </row>
    <row r="40" customFormat="false" ht="14.25" hidden="false" customHeight="false" outlineLevel="0" collapsed="false">
      <c r="E40" s="18"/>
      <c r="F40" s="18"/>
      <c r="G40" s="18"/>
      <c r="H40" s="18"/>
    </row>
    <row r="41" customFormat="false" ht="14.25" hidden="false" customHeight="false" outlineLevel="0" collapsed="false">
      <c r="E41" s="18"/>
      <c r="F41" s="18"/>
      <c r="G41" s="18"/>
      <c r="H41" s="18"/>
    </row>
    <row r="43" customFormat="false" ht="14.25" hidden="false" customHeight="false" outlineLevel="0" collapsed="false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customFormat="false" ht="14.25" hidden="false" customHeight="false" outlineLevel="0" collapsed="false">
      <c r="E44" s="18"/>
      <c r="F44" s="18"/>
      <c r="G44" s="18"/>
      <c r="H44" s="19"/>
    </row>
    <row r="45" customFormat="false" ht="14.25" hidden="false" customHeight="false" outlineLevel="0" collapsed="false">
      <c r="E45" s="18"/>
      <c r="F45" s="18"/>
      <c r="G45" s="18"/>
      <c r="H45" s="19"/>
    </row>
    <row r="46" customFormat="false" ht="14.25" hidden="false" customHeight="false" outlineLevel="0" collapsed="false">
      <c r="E46" s="18"/>
      <c r="F46" s="18"/>
      <c r="G46" s="17"/>
      <c r="H46" s="19"/>
    </row>
    <row r="47" customFormat="false" ht="14.25" hidden="false" customHeight="false" outlineLevel="0" collapsed="false">
      <c r="E47" s="18"/>
      <c r="F47" s="18"/>
      <c r="G47" s="18"/>
      <c r="H47" s="19"/>
    </row>
    <row r="48" customFormat="false" ht="14.25" hidden="false" customHeight="false" outlineLevel="0" collapsed="false">
      <c r="E48" s="18"/>
      <c r="F48" s="18"/>
      <c r="G48" s="17"/>
      <c r="H48" s="19"/>
    </row>
    <row r="49" customFormat="false" ht="14.25" hidden="false" customHeight="false" outlineLevel="0" collapsed="false">
      <c r="E49" s="18"/>
      <c r="F49" s="18"/>
      <c r="G49" s="17"/>
      <c r="H49" s="19"/>
    </row>
    <row r="50" customFormat="false" ht="14.25" hidden="false" customHeight="false" outlineLevel="0" collapsed="false">
      <c r="E50" s="18"/>
      <c r="F50" s="18"/>
      <c r="G50" s="18"/>
      <c r="H50" s="19"/>
    </row>
    <row r="51" customFormat="false" ht="14.25" hidden="false" customHeight="false" outlineLevel="0" collapsed="false">
      <c r="E51" s="18"/>
      <c r="F51" s="18"/>
      <c r="G51" s="18"/>
      <c r="H51" s="19"/>
    </row>
    <row r="52" customFormat="false" ht="14.25" hidden="false" customHeight="false" outlineLevel="0" collapsed="false">
      <c r="E52" s="18"/>
      <c r="F52" s="18"/>
      <c r="G52" s="18"/>
      <c r="H52" s="19"/>
    </row>
    <row r="53" customFormat="false" ht="14.25" hidden="false" customHeight="false" outlineLevel="0" collapsed="false">
      <c r="E53" s="18"/>
      <c r="F53" s="18"/>
      <c r="G53" s="18"/>
      <c r="H53" s="19"/>
    </row>
    <row r="54" customFormat="false" ht="14.25" hidden="false" customHeight="false" outlineLevel="0" collapsed="false">
      <c r="E54" s="18"/>
      <c r="F54" s="18"/>
      <c r="G54" s="18"/>
      <c r="H54" s="19"/>
    </row>
    <row r="55" customFormat="false" ht="14.25" hidden="false" customHeight="false" outlineLevel="0" collapsed="false">
      <c r="E55" s="18"/>
      <c r="F55" s="18"/>
      <c r="G55" s="18"/>
      <c r="H55" s="19"/>
    </row>
    <row r="56" customFormat="false" ht="14.25" hidden="false" customHeight="false" outlineLevel="0" collapsed="false">
      <c r="E56" s="18"/>
      <c r="F56" s="18"/>
      <c r="G56" s="18"/>
      <c r="H56" s="19"/>
    </row>
    <row r="57" customFormat="false" ht="14.25" hidden="false" customHeight="false" outlineLevel="0" collapsed="false">
      <c r="E57" s="18"/>
      <c r="F57" s="18"/>
      <c r="G57" s="18"/>
      <c r="H57" s="19"/>
    </row>
    <row r="58" customFormat="false" ht="14.25" hidden="false" customHeight="false" outlineLevel="0" collapsed="false">
      <c r="E58" s="18"/>
      <c r="F58" s="18"/>
      <c r="G58" s="18"/>
      <c r="H58" s="19"/>
    </row>
    <row r="59" customFormat="false" ht="14.25" hidden="false" customHeight="false" outlineLevel="0" collapsed="false">
      <c r="E59" s="18"/>
      <c r="F59" s="18"/>
      <c r="G59" s="18"/>
      <c r="H59" s="19"/>
    </row>
    <row r="60" customFormat="false" ht="14.25" hidden="false" customHeight="false" outlineLevel="0" collapsed="false">
      <c r="C60" s="4"/>
      <c r="D60" s="4"/>
      <c r="E60" s="20"/>
      <c r="F60" s="20"/>
      <c r="G60" s="20"/>
      <c r="H60" s="21"/>
    </row>
    <row r="61" customFormat="false" ht="14.25" hidden="false" customHeight="false" outlineLevel="0" collapsed="false">
      <c r="E61" s="18"/>
      <c r="F61" s="18"/>
      <c r="G61" s="18"/>
      <c r="H61" s="18"/>
    </row>
    <row r="62" customFormat="false" ht="14.25" hidden="false" customHeight="false" outlineLevel="0" collapsed="false">
      <c r="E62" s="18"/>
      <c r="F62" s="18"/>
      <c r="G62" s="18"/>
      <c r="H62" s="18"/>
    </row>
    <row r="64" customFormat="false" ht="14.25" hidden="false" customHeight="false" outlineLevel="0" collapsed="false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 customFormat="false" ht="14.25" hidden="false" customHeight="false" outlineLevel="0" collapsed="false">
      <c r="E65" s="18"/>
      <c r="F65" s="18"/>
      <c r="G65" s="18"/>
      <c r="H65" s="19"/>
    </row>
    <row r="66" customFormat="false" ht="14.25" hidden="false" customHeight="false" outlineLevel="0" collapsed="false">
      <c r="E66" s="18"/>
      <c r="F66" s="18"/>
      <c r="G66" s="18"/>
      <c r="H66" s="19"/>
    </row>
    <row r="67" customFormat="false" ht="14.25" hidden="false" customHeight="false" outlineLevel="0" collapsed="false">
      <c r="E67" s="18"/>
      <c r="F67" s="18"/>
      <c r="G67" s="17"/>
      <c r="H67" s="19"/>
    </row>
    <row r="68" customFormat="false" ht="14.25" hidden="false" customHeight="false" outlineLevel="0" collapsed="false">
      <c r="E68" s="18"/>
      <c r="F68" s="18"/>
      <c r="G68" s="18"/>
      <c r="H68" s="19"/>
    </row>
    <row r="69" customFormat="false" ht="14.25" hidden="false" customHeight="false" outlineLevel="0" collapsed="false">
      <c r="E69" s="18"/>
      <c r="F69" s="18"/>
      <c r="G69" s="17"/>
      <c r="H69" s="19"/>
    </row>
    <row r="70" customFormat="false" ht="14.25" hidden="false" customHeight="false" outlineLevel="0" collapsed="false">
      <c r="E70" s="18"/>
      <c r="F70" s="18"/>
      <c r="G70" s="17"/>
      <c r="H70" s="19"/>
    </row>
    <row r="71" customFormat="false" ht="14.25" hidden="false" customHeight="false" outlineLevel="0" collapsed="false">
      <c r="E71" s="18"/>
      <c r="F71" s="18"/>
      <c r="G71" s="18"/>
      <c r="H71" s="19"/>
    </row>
    <row r="72" customFormat="false" ht="14.25" hidden="false" customHeight="false" outlineLevel="0" collapsed="false">
      <c r="E72" s="18"/>
      <c r="F72" s="18"/>
      <c r="G72" s="18"/>
      <c r="H72" s="19"/>
    </row>
    <row r="73" customFormat="false" ht="14.25" hidden="false" customHeight="false" outlineLevel="0" collapsed="false">
      <c r="E73" s="18"/>
      <c r="F73" s="18"/>
      <c r="G73" s="18"/>
      <c r="H73" s="19"/>
    </row>
    <row r="74" customFormat="false" ht="14.25" hidden="false" customHeight="false" outlineLevel="0" collapsed="false">
      <c r="E74" s="18"/>
      <c r="F74" s="18"/>
      <c r="G74" s="18"/>
      <c r="H74" s="19"/>
    </row>
    <row r="75" customFormat="false" ht="14.25" hidden="false" customHeight="false" outlineLevel="0" collapsed="false">
      <c r="E75" s="18"/>
      <c r="F75" s="18"/>
      <c r="G75" s="18"/>
      <c r="H75" s="19"/>
    </row>
    <row r="76" customFormat="false" ht="14.25" hidden="false" customHeight="false" outlineLevel="0" collapsed="false">
      <c r="E76" s="18"/>
      <c r="F76" s="18"/>
      <c r="G76" s="18"/>
      <c r="H76" s="19"/>
    </row>
    <row r="77" customFormat="false" ht="14.25" hidden="false" customHeight="false" outlineLevel="0" collapsed="false">
      <c r="E77" s="18"/>
      <c r="F77" s="18"/>
      <c r="G77" s="18"/>
      <c r="H77" s="19"/>
    </row>
    <row r="78" customFormat="false" ht="14.25" hidden="false" customHeight="false" outlineLevel="0" collapsed="false">
      <c r="E78" s="18"/>
      <c r="F78" s="18"/>
      <c r="G78" s="18"/>
      <c r="H78" s="19"/>
    </row>
    <row r="79" customFormat="false" ht="14.25" hidden="false" customHeight="false" outlineLevel="0" collapsed="false">
      <c r="E79" s="18"/>
      <c r="F79" s="18"/>
      <c r="G79" s="18"/>
      <c r="H79" s="19"/>
    </row>
    <row r="80" customFormat="false" ht="14.25" hidden="false" customHeight="false" outlineLevel="0" collapsed="false">
      <c r="E80" s="18"/>
      <c r="F80" s="18"/>
      <c r="G80" s="18"/>
      <c r="H80" s="19"/>
    </row>
    <row r="81" customFormat="false" ht="14.25" hidden="false" customHeight="false" outlineLevel="0" collapsed="false">
      <c r="C81" s="4"/>
      <c r="D81" s="4"/>
      <c r="E81" s="20"/>
      <c r="F81" s="20"/>
      <c r="G81" s="20"/>
      <c r="H81" s="21"/>
    </row>
    <row r="82" customFormat="false" ht="14.25" hidden="false" customHeight="false" outlineLevel="0" collapsed="false">
      <c r="E82" s="18"/>
      <c r="F82" s="18"/>
      <c r="G82" s="18"/>
      <c r="H82" s="18"/>
    </row>
    <row r="85" customFormat="false" ht="14.25" hidden="false" customHeight="false" outlineLevel="0" collapsed="false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customFormat="false" ht="14.25" hidden="false" customHeight="false" outlineLevel="0" collapsed="false">
      <c r="E86" s="18"/>
      <c r="F86" s="18"/>
      <c r="G86" s="18"/>
      <c r="H86" s="19"/>
    </row>
    <row r="87" customFormat="false" ht="14.25" hidden="false" customHeight="false" outlineLevel="0" collapsed="false">
      <c r="E87" s="18"/>
      <c r="F87" s="18"/>
      <c r="G87" s="18"/>
      <c r="H87" s="19"/>
    </row>
    <row r="88" customFormat="false" ht="14.25" hidden="false" customHeight="false" outlineLevel="0" collapsed="false">
      <c r="E88" s="18"/>
      <c r="F88" s="18"/>
      <c r="G88" s="17"/>
      <c r="H88" s="19"/>
    </row>
    <row r="89" customFormat="false" ht="14.25" hidden="false" customHeight="false" outlineLevel="0" collapsed="false">
      <c r="E89" s="18"/>
      <c r="F89" s="18"/>
      <c r="G89" s="18"/>
      <c r="H89" s="19"/>
    </row>
    <row r="90" customFormat="false" ht="14.25" hidden="false" customHeight="false" outlineLevel="0" collapsed="false">
      <c r="E90" s="18"/>
      <c r="F90" s="18"/>
      <c r="G90" s="17"/>
      <c r="H90" s="19"/>
    </row>
    <row r="91" customFormat="false" ht="14.25" hidden="false" customHeight="false" outlineLevel="0" collapsed="false">
      <c r="E91" s="18"/>
      <c r="F91" s="18"/>
      <c r="G91" s="17"/>
      <c r="H91" s="19"/>
    </row>
    <row r="92" customFormat="false" ht="14.25" hidden="false" customHeight="false" outlineLevel="0" collapsed="false">
      <c r="E92" s="18"/>
      <c r="F92" s="18"/>
      <c r="G92" s="18"/>
      <c r="H92" s="19"/>
    </row>
    <row r="93" customFormat="false" ht="14.25" hidden="false" customHeight="false" outlineLevel="0" collapsed="false">
      <c r="E93" s="18"/>
      <c r="F93" s="18"/>
      <c r="G93" s="18"/>
      <c r="H93" s="19"/>
    </row>
    <row r="94" customFormat="false" ht="14.25" hidden="false" customHeight="false" outlineLevel="0" collapsed="false">
      <c r="E94" s="18"/>
      <c r="F94" s="18"/>
      <c r="G94" s="18"/>
      <c r="H94" s="19"/>
    </row>
    <row r="95" customFormat="false" ht="14.25" hidden="false" customHeight="false" outlineLevel="0" collapsed="false">
      <c r="E95" s="18"/>
      <c r="F95" s="18"/>
      <c r="G95" s="18"/>
      <c r="H95" s="19"/>
    </row>
    <row r="96" customFormat="false" ht="14.25" hidden="false" customHeight="false" outlineLevel="0" collapsed="false">
      <c r="E96" s="18"/>
      <c r="F96" s="18"/>
      <c r="G96" s="18"/>
      <c r="H96" s="19"/>
    </row>
    <row r="97" customFormat="false" ht="14.25" hidden="false" customHeight="false" outlineLevel="0" collapsed="false">
      <c r="E97" s="18"/>
      <c r="F97" s="18"/>
      <c r="G97" s="18"/>
      <c r="H97" s="19"/>
    </row>
    <row r="98" customFormat="false" ht="14.25" hidden="false" customHeight="false" outlineLevel="0" collapsed="false">
      <c r="E98" s="18"/>
      <c r="F98" s="18"/>
      <c r="G98" s="18"/>
      <c r="H98" s="19"/>
    </row>
    <row r="99" customFormat="false" ht="14.25" hidden="false" customHeight="false" outlineLevel="0" collapsed="false">
      <c r="E99" s="18"/>
      <c r="F99" s="18"/>
      <c r="G99" s="18"/>
      <c r="H99" s="19"/>
    </row>
    <row r="100" customFormat="false" ht="14.25" hidden="false" customHeight="false" outlineLevel="0" collapsed="false">
      <c r="E100" s="18"/>
      <c r="F100" s="18"/>
      <c r="G100" s="18"/>
      <c r="H100" s="19"/>
    </row>
    <row r="101" customFormat="false" ht="14.25" hidden="false" customHeight="false" outlineLevel="0" collapsed="false">
      <c r="E101" s="18"/>
      <c r="F101" s="18"/>
      <c r="G101" s="18"/>
      <c r="H101" s="19"/>
    </row>
    <row r="102" customFormat="false" ht="14.25" hidden="false" customHeight="false" outlineLevel="0" collapsed="false">
      <c r="C102" s="4"/>
      <c r="D102" s="4"/>
      <c r="E102" s="20"/>
      <c r="F102" s="20"/>
      <c r="G102" s="20"/>
      <c r="H102" s="21"/>
    </row>
    <row r="103" customFormat="false" ht="14.25" hidden="false" customHeight="false" outlineLevel="0" collapsed="false">
      <c r="E103" s="18"/>
      <c r="F103" s="18"/>
      <c r="G103" s="18"/>
      <c r="H103" s="18"/>
      <c r="I103" s="18"/>
      <c r="J103" s="18"/>
      <c r="K103" s="18"/>
      <c r="L103" s="18"/>
    </row>
    <row r="104" customFormat="false" ht="14.25" hidden="false" customHeight="false" outlineLevel="0" collapsed="false">
      <c r="E104" s="18"/>
      <c r="F104" s="18"/>
      <c r="G104" s="18"/>
      <c r="H104" s="18"/>
      <c r="I104" s="18"/>
      <c r="J104" s="18"/>
      <c r="K104" s="18"/>
      <c r="L104" s="18"/>
    </row>
    <row r="106" customFormat="false" ht="14.25" hidden="false" customHeight="false" outlineLevel="0" collapsed="false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</row>
    <row r="107" customFormat="false" ht="14.25" hidden="false" customHeight="false" outlineLevel="0" collapsed="false">
      <c r="E107" s="18"/>
      <c r="F107" s="18"/>
      <c r="G107" s="18"/>
      <c r="H107" s="19"/>
    </row>
    <row r="108" customFormat="false" ht="14.25" hidden="false" customHeight="false" outlineLevel="0" collapsed="false">
      <c r="E108" s="18"/>
      <c r="F108" s="18"/>
      <c r="G108" s="18"/>
      <c r="H108" s="19"/>
    </row>
    <row r="109" customFormat="false" ht="14.25" hidden="false" customHeight="false" outlineLevel="0" collapsed="false">
      <c r="E109" s="18"/>
      <c r="F109" s="18"/>
      <c r="G109" s="17"/>
      <c r="H109" s="19"/>
    </row>
    <row r="110" customFormat="false" ht="14.25" hidden="false" customHeight="false" outlineLevel="0" collapsed="false">
      <c r="E110" s="18"/>
      <c r="F110" s="18"/>
      <c r="G110" s="18"/>
      <c r="H110" s="19"/>
    </row>
    <row r="111" customFormat="false" ht="14.25" hidden="false" customHeight="false" outlineLevel="0" collapsed="false">
      <c r="E111" s="18"/>
      <c r="F111" s="18"/>
      <c r="G111" s="17"/>
      <c r="H111" s="19"/>
    </row>
    <row r="112" customFormat="false" ht="14.25" hidden="false" customHeight="false" outlineLevel="0" collapsed="false">
      <c r="E112" s="18"/>
      <c r="F112" s="18"/>
      <c r="G112" s="17"/>
      <c r="H112" s="19"/>
    </row>
    <row r="113" customFormat="false" ht="14.25" hidden="false" customHeight="false" outlineLevel="0" collapsed="false">
      <c r="E113" s="18"/>
      <c r="F113" s="18"/>
      <c r="G113" s="18"/>
      <c r="H113" s="19"/>
    </row>
    <row r="114" customFormat="false" ht="14.25" hidden="false" customHeight="false" outlineLevel="0" collapsed="false">
      <c r="E114" s="18"/>
      <c r="F114" s="18"/>
      <c r="G114" s="18"/>
      <c r="H114" s="19"/>
    </row>
    <row r="115" customFormat="false" ht="14.25" hidden="false" customHeight="false" outlineLevel="0" collapsed="false">
      <c r="E115" s="18"/>
      <c r="F115" s="18"/>
      <c r="G115" s="18"/>
      <c r="H115" s="19"/>
    </row>
    <row r="116" customFormat="false" ht="14.25" hidden="false" customHeight="false" outlineLevel="0" collapsed="false">
      <c r="E116" s="18"/>
      <c r="F116" s="18"/>
      <c r="G116" s="18"/>
      <c r="H116" s="19"/>
    </row>
    <row r="117" customFormat="false" ht="14.25" hidden="false" customHeight="false" outlineLevel="0" collapsed="false">
      <c r="E117" s="18"/>
      <c r="F117" s="18"/>
      <c r="G117" s="18"/>
      <c r="H117" s="19"/>
    </row>
    <row r="118" customFormat="false" ht="14.25" hidden="false" customHeight="false" outlineLevel="0" collapsed="false">
      <c r="E118" s="18"/>
      <c r="F118" s="18"/>
      <c r="G118" s="18"/>
      <c r="H118" s="19"/>
    </row>
    <row r="119" customFormat="false" ht="14.25" hidden="false" customHeight="false" outlineLevel="0" collapsed="false">
      <c r="E119" s="18"/>
      <c r="F119" s="18"/>
      <c r="G119" s="18"/>
      <c r="H119" s="19"/>
    </row>
    <row r="120" customFormat="false" ht="14.25" hidden="false" customHeight="false" outlineLevel="0" collapsed="false">
      <c r="E120" s="18"/>
      <c r="F120" s="18"/>
      <c r="G120" s="18"/>
      <c r="H120" s="19"/>
    </row>
    <row r="121" customFormat="false" ht="14.25" hidden="false" customHeight="false" outlineLevel="0" collapsed="false">
      <c r="E121" s="18"/>
      <c r="F121" s="18"/>
      <c r="G121" s="18"/>
      <c r="H121" s="19"/>
    </row>
    <row r="122" customFormat="false" ht="14.25" hidden="false" customHeight="false" outlineLevel="0" collapsed="false">
      <c r="E122" s="18"/>
      <c r="F122" s="18"/>
      <c r="G122" s="18"/>
      <c r="H122" s="19"/>
    </row>
    <row r="123" customFormat="false" ht="14.25" hidden="false" customHeight="false" outlineLevel="0" collapsed="false">
      <c r="C123" s="4"/>
      <c r="D123" s="4"/>
      <c r="E123" s="20"/>
      <c r="F123" s="20"/>
      <c r="G123" s="20"/>
      <c r="H123" s="21"/>
    </row>
    <row r="124" customFormat="false" ht="14.25" hidden="false" customHeight="false" outlineLevel="0" collapsed="false">
      <c r="E124" s="18"/>
      <c r="F124" s="18"/>
      <c r="G124" s="18"/>
      <c r="H124" s="18"/>
      <c r="I124" s="18"/>
      <c r="J124" s="18"/>
      <c r="K124" s="18"/>
      <c r="L124" s="18"/>
    </row>
    <row r="125" customFormat="false" ht="14.25" hidden="false" customHeight="false" outlineLevel="0" collapsed="false">
      <c r="E125" s="18"/>
      <c r="F125" s="18"/>
      <c r="G125" s="18"/>
      <c r="H125" s="18"/>
      <c r="I125" s="18"/>
      <c r="J125" s="18"/>
      <c r="K125" s="18"/>
      <c r="L125" s="18"/>
    </row>
    <row r="127" customFormat="false" ht="14.25" hidden="false" customHeight="false" outlineLevel="0" collapsed="false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</row>
    <row r="128" customFormat="false" ht="14.25" hidden="false" customHeight="false" outlineLevel="0" collapsed="false">
      <c r="E128" s="18"/>
      <c r="F128" s="18"/>
      <c r="G128" s="18"/>
      <c r="H128" s="19"/>
    </row>
    <row r="129" customFormat="false" ht="14.25" hidden="false" customHeight="false" outlineLevel="0" collapsed="false">
      <c r="E129" s="18"/>
      <c r="F129" s="18"/>
      <c r="G129" s="18"/>
      <c r="H129" s="19"/>
    </row>
    <row r="130" customFormat="false" ht="14.25" hidden="false" customHeight="false" outlineLevel="0" collapsed="false">
      <c r="E130" s="18"/>
      <c r="F130" s="18"/>
      <c r="G130" s="17"/>
      <c r="H130" s="19"/>
    </row>
    <row r="131" customFormat="false" ht="14.25" hidden="false" customHeight="false" outlineLevel="0" collapsed="false">
      <c r="E131" s="18"/>
      <c r="F131" s="18"/>
      <c r="G131" s="18"/>
      <c r="H131" s="19"/>
    </row>
    <row r="132" customFormat="false" ht="14.25" hidden="false" customHeight="false" outlineLevel="0" collapsed="false">
      <c r="E132" s="18"/>
      <c r="F132" s="18"/>
      <c r="G132" s="17"/>
      <c r="H132" s="19"/>
    </row>
    <row r="133" customFormat="false" ht="14.25" hidden="false" customHeight="false" outlineLevel="0" collapsed="false">
      <c r="E133" s="18"/>
      <c r="F133" s="18"/>
      <c r="G133" s="17"/>
      <c r="H133" s="19"/>
    </row>
    <row r="134" customFormat="false" ht="14.25" hidden="false" customHeight="false" outlineLevel="0" collapsed="false">
      <c r="E134" s="18"/>
      <c r="F134" s="18"/>
      <c r="G134" s="18"/>
      <c r="H134" s="19"/>
    </row>
    <row r="135" customFormat="false" ht="14.25" hidden="false" customHeight="false" outlineLevel="0" collapsed="false">
      <c r="E135" s="18"/>
      <c r="F135" s="18"/>
      <c r="G135" s="18"/>
      <c r="H135" s="19"/>
    </row>
    <row r="136" customFormat="false" ht="14.25" hidden="false" customHeight="false" outlineLevel="0" collapsed="false">
      <c r="E136" s="18"/>
      <c r="F136" s="18"/>
      <c r="G136" s="18"/>
      <c r="H136" s="19"/>
    </row>
    <row r="137" customFormat="false" ht="14.25" hidden="false" customHeight="false" outlineLevel="0" collapsed="false">
      <c r="E137" s="18"/>
      <c r="F137" s="18"/>
      <c r="G137" s="18"/>
      <c r="H137" s="19"/>
    </row>
    <row r="138" customFormat="false" ht="14.25" hidden="false" customHeight="false" outlineLevel="0" collapsed="false">
      <c r="E138" s="18"/>
      <c r="F138" s="18"/>
      <c r="G138" s="18"/>
      <c r="H138" s="19"/>
    </row>
    <row r="139" customFormat="false" ht="14.25" hidden="false" customHeight="false" outlineLevel="0" collapsed="false">
      <c r="E139" s="18"/>
      <c r="F139" s="18"/>
      <c r="G139" s="18"/>
      <c r="H139" s="19"/>
    </row>
    <row r="140" customFormat="false" ht="14.25" hidden="false" customHeight="false" outlineLevel="0" collapsed="false">
      <c r="E140" s="18"/>
      <c r="F140" s="18"/>
      <c r="G140" s="18"/>
      <c r="H140" s="19"/>
    </row>
    <row r="141" customFormat="false" ht="14.25" hidden="false" customHeight="false" outlineLevel="0" collapsed="false">
      <c r="E141" s="18"/>
      <c r="F141" s="18"/>
      <c r="G141" s="18"/>
      <c r="H141" s="19"/>
    </row>
    <row r="142" customFormat="false" ht="14.25" hidden="false" customHeight="false" outlineLevel="0" collapsed="false">
      <c r="E142" s="18"/>
      <c r="F142" s="18"/>
      <c r="G142" s="18"/>
      <c r="H142" s="19"/>
    </row>
    <row r="143" customFormat="false" ht="14.25" hidden="false" customHeight="false" outlineLevel="0" collapsed="false">
      <c r="E143" s="18"/>
      <c r="F143" s="18"/>
      <c r="G143" s="18"/>
      <c r="H143" s="19"/>
    </row>
    <row r="144" customFormat="false" ht="14.25" hidden="false" customHeight="false" outlineLevel="0" collapsed="false">
      <c r="C144" s="4"/>
      <c r="D144" s="4"/>
      <c r="E144" s="20"/>
      <c r="F144" s="20"/>
      <c r="G144" s="20"/>
      <c r="H144" s="21"/>
    </row>
    <row r="145" customFormat="false" ht="14.25" hidden="false" customHeight="false" outlineLevel="0" collapsed="false">
      <c r="E145" s="18"/>
      <c r="F145" s="18"/>
      <c r="G145" s="18"/>
      <c r="H145" s="18"/>
      <c r="I145" s="18"/>
      <c r="J145" s="18"/>
      <c r="K145" s="18"/>
      <c r="L145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8" activeCellId="0" sqref="C18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2.44"/>
    <col collapsed="false" customWidth="true" hidden="false" outlineLevel="0" max="2" min="2" style="1" width="5.56"/>
    <col collapsed="false" customWidth="true" hidden="false" outlineLevel="0" max="3" min="3" style="1" width="56.44"/>
    <col collapsed="false" customWidth="true" hidden="false" outlineLevel="0" max="4" min="4" style="1" width="15.66"/>
    <col collapsed="false" customWidth="true" hidden="false" outlineLevel="0" max="7" min="5" style="22" width="13.22"/>
    <col collapsed="false" customWidth="false" hidden="false" outlineLevel="0" max="8" min="8" style="1" width="8.88"/>
    <col collapsed="false" customWidth="true" hidden="false" outlineLevel="0" max="9" min="9" style="1" width="15.66"/>
    <col collapsed="false" customWidth="true" hidden="false" outlineLevel="0" max="10" min="10" style="2" width="12.33"/>
    <col collapsed="false" customWidth="true" hidden="false" outlineLevel="0" max="11" min="11" style="2" width="13.67"/>
    <col collapsed="false" customWidth="true" hidden="false" outlineLevel="0" max="12" min="12" style="2" width="13.34"/>
    <col collapsed="false" customWidth="true" hidden="false" outlineLevel="0" max="13" min="13" style="23" width="13.34"/>
    <col collapsed="false" customWidth="true" hidden="false" outlineLevel="0" max="14" min="14" style="1" width="9.11"/>
    <col collapsed="false" customWidth="false" hidden="false" outlineLevel="0" max="16384" min="15" style="1" width="8.88"/>
  </cols>
  <sheetData>
    <row r="2" customFormat="false" ht="14.25" hidden="false" customHeight="false" outlineLevel="0" collapsed="false">
      <c r="B2" s="24" t="s">
        <v>1</v>
      </c>
      <c r="C2" s="24" t="s">
        <v>2</v>
      </c>
      <c r="D2" s="24" t="s">
        <v>3</v>
      </c>
      <c r="E2" s="25" t="s">
        <v>4</v>
      </c>
      <c r="F2" s="25" t="s">
        <v>5</v>
      </c>
      <c r="G2" s="25" t="s">
        <v>6</v>
      </c>
      <c r="I2" s="26" t="s">
        <v>3</v>
      </c>
      <c r="J2" s="26" t="s">
        <v>4</v>
      </c>
      <c r="K2" s="26" t="s">
        <v>5</v>
      </c>
      <c r="L2" s="26" t="s">
        <v>6</v>
      </c>
      <c r="M2" s="27" t="s">
        <v>39</v>
      </c>
      <c r="N2" s="28"/>
    </row>
    <row r="3" customFormat="false" ht="14.25" hidden="false" customHeight="false" outlineLevel="0" collapsed="false">
      <c r="B3" s="7" t="n">
        <v>1</v>
      </c>
      <c r="C3" s="7" t="s">
        <v>12</v>
      </c>
      <c r="D3" s="7" t="s">
        <v>13</v>
      </c>
      <c r="E3" s="8" t="n">
        <v>1213020</v>
      </c>
      <c r="F3" s="8" t="n">
        <v>1280966</v>
      </c>
      <c r="G3" s="8" t="n">
        <v>67946</v>
      </c>
      <c r="I3" s="7" t="s">
        <v>13</v>
      </c>
      <c r="J3" s="29" t="n">
        <v>3023206</v>
      </c>
      <c r="K3" s="29" t="n">
        <v>5058393</v>
      </c>
      <c r="L3" s="29" t="n">
        <v>2035187</v>
      </c>
      <c r="M3" s="30" t="n">
        <f aca="false">J3/$J$9</f>
        <v>0.387335169558735</v>
      </c>
      <c r="N3" s="18"/>
    </row>
    <row r="4" customFormat="false" ht="14.25" hidden="false" customHeight="false" outlineLevel="0" collapsed="false">
      <c r="B4" s="7" t="n">
        <v>3</v>
      </c>
      <c r="C4" s="7" t="s">
        <v>19</v>
      </c>
      <c r="D4" s="31" t="s">
        <v>13</v>
      </c>
      <c r="E4" s="32" t="n">
        <v>504341</v>
      </c>
      <c r="F4" s="32" t="n">
        <v>504493</v>
      </c>
      <c r="G4" s="32" t="n">
        <v>152</v>
      </c>
      <c r="I4" s="7" t="s">
        <v>34</v>
      </c>
      <c r="J4" s="29" t="n">
        <v>255000</v>
      </c>
      <c r="K4" s="29" t="n">
        <v>460858</v>
      </c>
      <c r="L4" s="29" t="n">
        <v>205858</v>
      </c>
      <c r="M4" s="30" t="n">
        <f aca="false">J4/$J$9</f>
        <v>0.0326707701153932</v>
      </c>
      <c r="N4" s="18"/>
    </row>
    <row r="5" customFormat="false" ht="14.25" hidden="false" customHeight="false" outlineLevel="0" collapsed="false">
      <c r="B5" s="7" t="n">
        <v>7</v>
      </c>
      <c r="C5" s="7" t="s">
        <v>26</v>
      </c>
      <c r="D5" s="7" t="s">
        <v>13</v>
      </c>
      <c r="E5" s="8" t="n">
        <v>431141</v>
      </c>
      <c r="F5" s="8" t="n">
        <v>902376</v>
      </c>
      <c r="G5" s="8" t="n">
        <v>471235</v>
      </c>
      <c r="I5" s="7" t="s">
        <v>28</v>
      </c>
      <c r="J5" s="29" t="n">
        <v>2849336</v>
      </c>
      <c r="K5" s="29" t="n">
        <v>7572352</v>
      </c>
      <c r="L5" s="29" t="n">
        <v>4723016</v>
      </c>
      <c r="M5" s="30" t="n">
        <f aca="false">J5/$J$9</f>
        <v>0.365058829166721</v>
      </c>
      <c r="N5" s="17"/>
    </row>
    <row r="6" customFormat="false" ht="14.25" hidden="false" customHeight="false" outlineLevel="0" collapsed="false">
      <c r="B6" s="7" t="n">
        <v>12</v>
      </c>
      <c r="C6" s="7" t="s">
        <v>32</v>
      </c>
      <c r="D6" s="31" t="s">
        <v>13</v>
      </c>
      <c r="E6" s="32" t="n">
        <v>126333</v>
      </c>
      <c r="F6" s="32" t="n">
        <v>200972</v>
      </c>
      <c r="G6" s="32" t="n">
        <v>74639</v>
      </c>
      <c r="I6" s="7" t="s">
        <v>40</v>
      </c>
      <c r="J6" s="29" t="n">
        <v>1400000</v>
      </c>
      <c r="K6" s="29" t="n">
        <v>1526174</v>
      </c>
      <c r="L6" s="29" t="n">
        <v>126174</v>
      </c>
      <c r="M6" s="30" t="n">
        <f aca="false">J6/$J$9</f>
        <v>0.179368933966864</v>
      </c>
      <c r="N6" s="18"/>
    </row>
    <row r="7" customFormat="false" ht="14.25" hidden="false" customHeight="false" outlineLevel="0" collapsed="false">
      <c r="B7" s="7" t="n">
        <v>14</v>
      </c>
      <c r="C7" s="7" t="s">
        <v>35</v>
      </c>
      <c r="D7" s="7" t="s">
        <v>13</v>
      </c>
      <c r="E7" s="8" t="n">
        <v>134393</v>
      </c>
      <c r="F7" s="8" t="n">
        <v>500000</v>
      </c>
      <c r="G7" s="8" t="n">
        <v>365607</v>
      </c>
      <c r="I7" s="7" t="s">
        <v>41</v>
      </c>
      <c r="J7" s="29" t="n">
        <v>27600</v>
      </c>
      <c r="K7" s="29" t="n">
        <v>28262</v>
      </c>
      <c r="L7" s="29" t="n">
        <v>662</v>
      </c>
      <c r="M7" s="30" t="n">
        <f aca="false">J7/$J$9</f>
        <v>0.00353613041248961</v>
      </c>
      <c r="N7" s="17"/>
    </row>
    <row r="8" customFormat="false" ht="14.25" hidden="false" customHeight="false" outlineLevel="0" collapsed="false">
      <c r="B8" s="7" t="n">
        <v>15</v>
      </c>
      <c r="C8" s="7" t="s">
        <v>36</v>
      </c>
      <c r="D8" s="7" t="s">
        <v>13</v>
      </c>
      <c r="E8" s="8" t="n">
        <v>513478</v>
      </c>
      <c r="F8" s="8" t="n">
        <v>1493402</v>
      </c>
      <c r="G8" s="8" t="n">
        <v>979924</v>
      </c>
      <c r="I8" s="7" t="s">
        <v>42</v>
      </c>
      <c r="J8" s="29" t="n">
        <v>250000</v>
      </c>
      <c r="K8" s="29" t="n">
        <v>462594</v>
      </c>
      <c r="L8" s="29" t="n">
        <v>212594</v>
      </c>
      <c r="M8" s="30" t="n">
        <f aca="false">J8/$J$9</f>
        <v>0.0320301667797972</v>
      </c>
      <c r="N8" s="17"/>
    </row>
    <row r="9" customFormat="false" ht="14.25" hidden="false" customHeight="false" outlineLevel="0" collapsed="false">
      <c r="B9" s="7" t="n">
        <v>16</v>
      </c>
      <c r="C9" s="7" t="s">
        <v>37</v>
      </c>
      <c r="D9" s="31" t="s">
        <v>13</v>
      </c>
      <c r="E9" s="32" t="n">
        <v>100500</v>
      </c>
      <c r="F9" s="32" t="n">
        <v>176184</v>
      </c>
      <c r="G9" s="32" t="n">
        <v>75684</v>
      </c>
      <c r="I9" s="12" t="s">
        <v>38</v>
      </c>
      <c r="J9" s="33" t="n">
        <f aca="false">SUM(J3:J8)</f>
        <v>7805142</v>
      </c>
      <c r="K9" s="33" t="n">
        <f aca="false">SUM(K3:K8)</f>
        <v>15108633</v>
      </c>
      <c r="L9" s="33" t="n">
        <f aca="false">SUM(L3:L8)</f>
        <v>7303491</v>
      </c>
      <c r="M9" s="34" t="n">
        <f aca="false">J9/$J$9</f>
        <v>1</v>
      </c>
      <c r="N9" s="18"/>
    </row>
    <row r="10" customFormat="false" ht="13.5" hidden="false" customHeight="true" outlineLevel="0" collapsed="false">
      <c r="B10" s="12"/>
      <c r="C10" s="12"/>
      <c r="D10" s="12" t="s">
        <v>38</v>
      </c>
      <c r="E10" s="35" t="n">
        <v>3023206</v>
      </c>
      <c r="F10" s="35" t="n">
        <v>5058393</v>
      </c>
      <c r="G10" s="35" t="n">
        <v>2035187</v>
      </c>
      <c r="L10" s="36"/>
      <c r="M10" s="37"/>
      <c r="N10" s="18"/>
    </row>
    <row r="11" customFormat="false" ht="14.25" hidden="false" customHeight="false" outlineLevel="0" collapsed="false">
      <c r="L11" s="36"/>
      <c r="M11" s="37"/>
      <c r="N11" s="18"/>
    </row>
    <row r="12" customFormat="false" ht="14.25" hidden="false" customHeight="false" outlineLevel="0" collapsed="false">
      <c r="B12" s="24" t="s">
        <v>1</v>
      </c>
      <c r="C12" s="24" t="s">
        <v>2</v>
      </c>
      <c r="D12" s="24" t="s">
        <v>3</v>
      </c>
      <c r="E12" s="25" t="s">
        <v>4</v>
      </c>
      <c r="F12" s="25" t="s">
        <v>5</v>
      </c>
      <c r="G12" s="25" t="s">
        <v>6</v>
      </c>
      <c r="I12" s="26" t="s">
        <v>3</v>
      </c>
      <c r="J12" s="26" t="s">
        <v>43</v>
      </c>
      <c r="K12" s="26" t="s">
        <v>44</v>
      </c>
      <c r="L12" s="38" t="s">
        <v>45</v>
      </c>
      <c r="M12" s="26" t="s">
        <v>46</v>
      </c>
      <c r="N12" s="18"/>
    </row>
    <row r="13" customFormat="false" ht="14.25" hidden="false" customHeight="false" outlineLevel="0" collapsed="false">
      <c r="B13" s="7" t="n">
        <v>13</v>
      </c>
      <c r="C13" s="7" t="s">
        <v>33</v>
      </c>
      <c r="D13" s="39" t="s">
        <v>34</v>
      </c>
      <c r="E13" s="40" t="n">
        <v>255000</v>
      </c>
      <c r="F13" s="40" t="n">
        <v>460858</v>
      </c>
      <c r="G13" s="40" t="n">
        <v>205858</v>
      </c>
      <c r="I13" s="7" t="s">
        <v>13</v>
      </c>
      <c r="J13" s="30" t="n">
        <v>0.4</v>
      </c>
      <c r="K13" s="30" t="n">
        <v>0.39</v>
      </c>
      <c r="L13" s="41" t="n">
        <v>0.35</v>
      </c>
      <c r="M13" s="42" t="n">
        <f aca="false">L13-K13</f>
        <v>-0.04</v>
      </c>
    </row>
    <row r="14" customFormat="false" ht="14.25" hidden="false" customHeight="false" outlineLevel="0" collapsed="false">
      <c r="I14" s="7" t="s">
        <v>34</v>
      </c>
      <c r="J14" s="30" t="n">
        <v>0.1</v>
      </c>
      <c r="K14" s="30" t="n">
        <v>0.03</v>
      </c>
      <c r="L14" s="41" t="n">
        <v>0.1</v>
      </c>
      <c r="M14" s="42" t="n">
        <f aca="false">L14-K14</f>
        <v>0.07</v>
      </c>
    </row>
    <row r="15" customFormat="false" ht="14.25" hidden="false" customHeight="false" outlineLevel="0" collapsed="false">
      <c r="B15" s="24" t="s">
        <v>1</v>
      </c>
      <c r="C15" s="24" t="s">
        <v>2</v>
      </c>
      <c r="D15" s="24" t="s">
        <v>3</v>
      </c>
      <c r="E15" s="25" t="s">
        <v>4</v>
      </c>
      <c r="F15" s="25" t="s">
        <v>5</v>
      </c>
      <c r="G15" s="25" t="s">
        <v>6</v>
      </c>
      <c r="I15" s="43" t="s">
        <v>28</v>
      </c>
      <c r="J15" s="44" t="n">
        <v>0.1</v>
      </c>
      <c r="K15" s="45" t="n">
        <v>0.37</v>
      </c>
      <c r="L15" s="45" t="n">
        <v>0.05</v>
      </c>
      <c r="M15" s="45" t="n">
        <f aca="false">L15-K15</f>
        <v>-0.32</v>
      </c>
    </row>
    <row r="16" customFormat="false" ht="14.25" hidden="false" customHeight="false" outlineLevel="0" collapsed="false">
      <c r="B16" s="7" t="n">
        <v>8</v>
      </c>
      <c r="C16" s="7" t="s">
        <v>27</v>
      </c>
      <c r="D16" s="7" t="s">
        <v>28</v>
      </c>
      <c r="E16" s="8" t="n">
        <v>170946</v>
      </c>
      <c r="F16" s="8" t="n">
        <v>321959</v>
      </c>
      <c r="G16" s="8" t="n">
        <v>151013</v>
      </c>
      <c r="I16" s="7" t="s">
        <v>40</v>
      </c>
      <c r="J16" s="30" t="n">
        <v>0.3</v>
      </c>
      <c r="K16" s="30" t="n">
        <v>0.18</v>
      </c>
      <c r="L16" s="41" t="n">
        <v>0.3</v>
      </c>
      <c r="M16" s="42" t="n">
        <f aca="false">L16-K16</f>
        <v>0.12</v>
      </c>
      <c r="N16" s="18"/>
    </row>
    <row r="17" customFormat="false" ht="14.25" hidden="false" customHeight="false" outlineLevel="0" collapsed="false">
      <c r="B17" s="7" t="n">
        <v>9</v>
      </c>
      <c r="C17" s="7" t="s">
        <v>29</v>
      </c>
      <c r="D17" s="7" t="s">
        <v>28</v>
      </c>
      <c r="E17" s="8" t="n">
        <v>245000</v>
      </c>
      <c r="F17" s="8" t="n">
        <v>398867</v>
      </c>
      <c r="G17" s="8" t="n">
        <v>153867</v>
      </c>
      <c r="I17" s="7" t="s">
        <v>41</v>
      </c>
      <c r="J17" s="30" t="n">
        <v>0.05</v>
      </c>
      <c r="K17" s="30" t="n">
        <v>0</v>
      </c>
      <c r="L17" s="41" t="n">
        <v>0.1</v>
      </c>
      <c r="M17" s="42" t="n">
        <f aca="false">L17-K17</f>
        <v>0.1</v>
      </c>
      <c r="N17" s="18"/>
    </row>
    <row r="18" customFormat="false" ht="14.25" hidden="false" customHeight="false" outlineLevel="0" collapsed="false">
      <c r="B18" s="7" t="n">
        <v>11</v>
      </c>
      <c r="C18" s="7" t="s">
        <v>31</v>
      </c>
      <c r="D18" s="7" t="s">
        <v>28</v>
      </c>
      <c r="E18" s="8" t="n">
        <v>2433390</v>
      </c>
      <c r="F18" s="8" t="n">
        <v>6851526</v>
      </c>
      <c r="G18" s="8" t="n">
        <v>4418136</v>
      </c>
      <c r="I18" s="7" t="s">
        <v>42</v>
      </c>
      <c r="J18" s="30" t="n">
        <v>0.05</v>
      </c>
      <c r="K18" s="30" t="n">
        <v>0.03</v>
      </c>
      <c r="L18" s="41" t="n">
        <v>0.1</v>
      </c>
      <c r="M18" s="42" t="n">
        <f aca="false">L18-K18</f>
        <v>0.07</v>
      </c>
      <c r="N18" s="18"/>
    </row>
    <row r="19" customFormat="false" ht="14.25" hidden="false" customHeight="false" outlineLevel="0" collapsed="false">
      <c r="B19" s="46"/>
      <c r="C19" s="46"/>
      <c r="D19" s="12" t="s">
        <v>38</v>
      </c>
      <c r="E19" s="35" t="n">
        <v>2849336</v>
      </c>
      <c r="F19" s="35" t="n">
        <v>7572352</v>
      </c>
      <c r="G19" s="35" t="n">
        <v>4723016</v>
      </c>
      <c r="I19" s="47" t="s">
        <v>38</v>
      </c>
      <c r="J19" s="48" t="n">
        <f aca="false">SUM(J13:J18)</f>
        <v>1</v>
      </c>
      <c r="K19" s="48"/>
      <c r="L19" s="49" t="n">
        <f aca="false">SUM(L13:L18)</f>
        <v>1</v>
      </c>
      <c r="M19" s="50"/>
      <c r="N19" s="20"/>
    </row>
    <row r="21" customFormat="false" ht="14.25" hidden="false" customHeight="false" outlineLevel="0" collapsed="false">
      <c r="B21" s="24" t="s">
        <v>1</v>
      </c>
      <c r="C21" s="24" t="s">
        <v>2</v>
      </c>
      <c r="D21" s="24" t="s">
        <v>3</v>
      </c>
      <c r="E21" s="25" t="s">
        <v>4</v>
      </c>
      <c r="F21" s="25" t="s">
        <v>5</v>
      </c>
      <c r="G21" s="25" t="s">
        <v>6</v>
      </c>
      <c r="I21" s="51"/>
      <c r="J21" s="51"/>
      <c r="K21" s="51"/>
    </row>
    <row r="22" customFormat="false" ht="14.25" hidden="false" customHeight="false" outlineLevel="0" collapsed="false">
      <c r="B22" s="7" t="n">
        <v>2</v>
      </c>
      <c r="C22" s="7" t="s">
        <v>16</v>
      </c>
      <c r="D22" s="7" t="s">
        <v>17</v>
      </c>
      <c r="E22" s="8" t="n">
        <v>1000000</v>
      </c>
      <c r="F22" s="8" t="n">
        <v>1024979</v>
      </c>
      <c r="G22" s="8" t="n">
        <v>24979</v>
      </c>
      <c r="I22" s="3"/>
      <c r="J22" s="37"/>
      <c r="K22" s="52"/>
    </row>
    <row r="23" customFormat="false" ht="14.25" hidden="false" customHeight="false" outlineLevel="0" collapsed="false">
      <c r="B23" s="7" t="n">
        <v>10</v>
      </c>
      <c r="C23" s="7" t="s">
        <v>30</v>
      </c>
      <c r="D23" s="7" t="s">
        <v>17</v>
      </c>
      <c r="E23" s="8" t="n">
        <v>400000</v>
      </c>
      <c r="F23" s="8" t="n">
        <v>501195</v>
      </c>
      <c r="G23" s="8" t="n">
        <v>101195</v>
      </c>
      <c r="I23" s="3"/>
      <c r="J23" s="37"/>
      <c r="K23" s="52"/>
    </row>
    <row r="24" customFormat="false" ht="14.25" hidden="false" customHeight="false" outlineLevel="0" collapsed="false">
      <c r="B24" s="46"/>
      <c r="C24" s="46"/>
      <c r="D24" s="12" t="s">
        <v>40</v>
      </c>
      <c r="E24" s="35" t="n">
        <v>1400000</v>
      </c>
      <c r="F24" s="35" t="n">
        <v>1526174</v>
      </c>
      <c r="G24" s="35" t="n">
        <v>126174</v>
      </c>
      <c r="J24" s="37"/>
      <c r="K24" s="37"/>
    </row>
    <row r="26" customFormat="false" ht="14.25" hidden="false" customHeight="false" outlineLevel="0" collapsed="false">
      <c r="B26" s="24" t="s">
        <v>1</v>
      </c>
      <c r="C26" s="24" t="s">
        <v>2</v>
      </c>
      <c r="D26" s="24" t="s">
        <v>3</v>
      </c>
      <c r="E26" s="25" t="s">
        <v>4</v>
      </c>
      <c r="F26" s="25" t="s">
        <v>5</v>
      </c>
      <c r="G26" s="25" t="s">
        <v>6</v>
      </c>
    </row>
    <row r="27" customFormat="false" ht="14.25" hidden="false" customHeight="false" outlineLevel="0" collapsed="false">
      <c r="B27" s="7" t="n">
        <v>5</v>
      </c>
      <c r="C27" s="7" t="s">
        <v>22</v>
      </c>
      <c r="D27" s="7" t="s">
        <v>23</v>
      </c>
      <c r="E27" s="8" t="n">
        <v>26000</v>
      </c>
      <c r="F27" s="8" t="n">
        <v>26616</v>
      </c>
      <c r="G27" s="8" t="n">
        <v>616</v>
      </c>
    </row>
    <row r="28" customFormat="false" ht="14.25" hidden="false" customHeight="false" outlineLevel="0" collapsed="false">
      <c r="B28" s="7" t="n">
        <v>6</v>
      </c>
      <c r="C28" s="7" t="s">
        <v>25</v>
      </c>
      <c r="D28" s="7" t="s">
        <v>23</v>
      </c>
      <c r="E28" s="8" t="n">
        <v>1600</v>
      </c>
      <c r="F28" s="8" t="n">
        <v>1646</v>
      </c>
      <c r="G28" s="8" t="n">
        <v>46</v>
      </c>
    </row>
    <row r="29" customFormat="false" ht="14.25" hidden="false" customHeight="false" outlineLevel="0" collapsed="false">
      <c r="B29" s="46"/>
      <c r="C29" s="46"/>
      <c r="D29" s="12" t="s">
        <v>41</v>
      </c>
      <c r="E29" s="35" t="n">
        <v>27600</v>
      </c>
      <c r="F29" s="35" t="n">
        <v>28262</v>
      </c>
      <c r="G29" s="35" t="n">
        <v>662</v>
      </c>
    </row>
    <row r="31" customFormat="false" ht="14.25" hidden="false" customHeight="false" outlineLevel="0" collapsed="false">
      <c r="B31" s="24" t="s">
        <v>1</v>
      </c>
      <c r="C31" s="24" t="s">
        <v>2</v>
      </c>
      <c r="D31" s="24" t="s">
        <v>3</v>
      </c>
      <c r="E31" s="25" t="s">
        <v>4</v>
      </c>
      <c r="F31" s="25" t="s">
        <v>5</v>
      </c>
      <c r="G31" s="25" t="s">
        <v>6</v>
      </c>
    </row>
    <row r="32" customFormat="false" ht="14.25" hidden="false" customHeight="false" outlineLevel="0" collapsed="false">
      <c r="B32" s="7" t="n">
        <v>4</v>
      </c>
      <c r="C32" s="7" t="s">
        <v>20</v>
      </c>
      <c r="D32" s="39" t="s">
        <v>42</v>
      </c>
      <c r="E32" s="40" t="n">
        <v>250000</v>
      </c>
      <c r="F32" s="40" t="n">
        <v>462594</v>
      </c>
      <c r="G32" s="40" t="n">
        <v>212594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1" width="7.56"/>
    <col collapsed="false" customWidth="true" hidden="false" outlineLevel="0" max="3" min="3" style="1" width="24.44"/>
    <col collapsed="false" customWidth="true" hidden="false" outlineLevel="0" max="4" min="4" style="1" width="14.56"/>
    <col collapsed="false" customWidth="true" hidden="false" outlineLevel="0" max="5" min="5" style="1" width="11.56"/>
    <col collapsed="false" customWidth="true" hidden="false" outlineLevel="0" max="6" min="6" style="1" width="14.78"/>
    <col collapsed="false" customWidth="true" hidden="false" outlineLevel="0" max="7" min="7" style="1" width="13.11"/>
    <col collapsed="false" customWidth="true" hidden="false" outlineLevel="0" max="8" min="8" style="1" width="13.67"/>
    <col collapsed="false" customWidth="true" hidden="false" outlineLevel="0" max="9" min="9" style="1" width="14.11"/>
    <col collapsed="false" customWidth="true" hidden="false" outlineLevel="0" max="10" min="10" style="1" width="11.56"/>
    <col collapsed="false" customWidth="true" hidden="false" outlineLevel="0" max="11" min="11" style="17" width="11.56"/>
    <col collapsed="false" customWidth="true" hidden="false" outlineLevel="0" max="12" min="12" style="1" width="12.67"/>
    <col collapsed="false" customWidth="false" hidden="false" outlineLevel="0" max="16384" min="13" style="1" width="8.88"/>
  </cols>
  <sheetData>
    <row r="1" customFormat="false" ht="14.25" hidden="false" customHeight="false" outlineLevel="0" collapsed="false">
      <c r="C1" s="4" t="s">
        <v>47</v>
      </c>
    </row>
    <row r="2" customFormat="false" ht="14.25" hidden="false" customHeight="false" outlineLevel="0" collapsed="false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3" t="s">
        <v>9</v>
      </c>
      <c r="K2" s="5" t="s">
        <v>10</v>
      </c>
      <c r="L2" s="53" t="s">
        <v>11</v>
      </c>
    </row>
    <row r="3" customFormat="false" ht="14.25" hidden="false" customHeight="false" outlineLevel="0" collapsed="false">
      <c r="B3" s="7" t="n">
        <v>1</v>
      </c>
      <c r="C3" s="7" t="s">
        <v>48</v>
      </c>
      <c r="D3" s="7" t="s">
        <v>49</v>
      </c>
      <c r="E3" s="8" t="n">
        <v>760000</v>
      </c>
      <c r="F3" s="8" t="n">
        <v>1501294</v>
      </c>
      <c r="G3" s="8" t="n">
        <v>741294</v>
      </c>
      <c r="H3" s="9" t="n">
        <v>0.975</v>
      </c>
      <c r="I3" s="10" t="s">
        <v>14</v>
      </c>
      <c r="J3" s="7" t="n">
        <v>22.74</v>
      </c>
      <c r="K3" s="54" t="s">
        <v>15</v>
      </c>
      <c r="L3" s="7" t="n">
        <v>0.76</v>
      </c>
    </row>
    <row r="4" customFormat="false" ht="14.25" hidden="false" customHeight="false" outlineLevel="0" collapsed="false">
      <c r="B4" s="7" t="n">
        <v>2</v>
      </c>
      <c r="C4" s="7" t="s">
        <v>50</v>
      </c>
      <c r="D4" s="7" t="s">
        <v>51</v>
      </c>
      <c r="E4" s="8" t="n">
        <v>200000</v>
      </c>
      <c r="F4" s="8" t="n">
        <v>772642</v>
      </c>
      <c r="G4" s="8" t="n">
        <v>572642</v>
      </c>
      <c r="H4" s="9" t="n">
        <v>2.863</v>
      </c>
      <c r="I4" s="10" t="n">
        <v>5</v>
      </c>
      <c r="J4" s="7" t="n">
        <v>23.55</v>
      </c>
      <c r="K4" s="54" t="s">
        <v>15</v>
      </c>
      <c r="L4" s="7" t="n">
        <v>0.8</v>
      </c>
    </row>
    <row r="5" customFormat="false" ht="14.25" hidden="false" customHeight="false" outlineLevel="0" collapsed="false">
      <c r="B5" s="7" t="n">
        <v>3</v>
      </c>
      <c r="C5" s="7" t="s">
        <v>52</v>
      </c>
      <c r="D5" s="7" t="s">
        <v>49</v>
      </c>
      <c r="E5" s="8" t="n">
        <v>200000</v>
      </c>
      <c r="F5" s="8" t="n">
        <v>725211</v>
      </c>
      <c r="G5" s="8" t="n">
        <v>525211</v>
      </c>
      <c r="H5" s="9" t="n">
        <v>2.626</v>
      </c>
      <c r="I5" s="10" t="n">
        <v>5</v>
      </c>
      <c r="J5" s="7" t="n">
        <v>17.34</v>
      </c>
      <c r="K5" s="54" t="s">
        <v>15</v>
      </c>
      <c r="L5" s="7" t="n">
        <v>1.21</v>
      </c>
    </row>
    <row r="6" customFormat="false" ht="14.25" hidden="false" customHeight="false" outlineLevel="0" collapsed="false">
      <c r="B6" s="7" t="n">
        <v>4</v>
      </c>
      <c r="C6" s="7" t="s">
        <v>36</v>
      </c>
      <c r="D6" s="7" t="s">
        <v>49</v>
      </c>
      <c r="E6" s="8" t="n">
        <v>256000</v>
      </c>
      <c r="F6" s="8" t="n">
        <v>544305</v>
      </c>
      <c r="G6" s="8" t="n">
        <v>288305</v>
      </c>
      <c r="H6" s="9" t="n">
        <v>1.126</v>
      </c>
      <c r="I6" s="10" t="n">
        <v>4</v>
      </c>
      <c r="J6" s="7" t="n">
        <v>12.37</v>
      </c>
      <c r="K6" s="54" t="s">
        <v>15</v>
      </c>
      <c r="L6" s="7" t="n">
        <v>0.95</v>
      </c>
    </row>
    <row r="7" customFormat="false" ht="14.25" hidden="false" customHeight="false" outlineLevel="0" collapsed="false">
      <c r="B7" s="7" t="n">
        <v>5</v>
      </c>
      <c r="C7" s="7" t="s">
        <v>53</v>
      </c>
      <c r="D7" s="55" t="s">
        <v>49</v>
      </c>
      <c r="E7" s="8" t="n">
        <v>300526</v>
      </c>
      <c r="F7" s="8" t="n">
        <v>375207</v>
      </c>
      <c r="G7" s="8" t="n">
        <v>74681</v>
      </c>
      <c r="H7" s="9" t="n">
        <v>0.249</v>
      </c>
      <c r="I7" s="10" t="n">
        <v>2</v>
      </c>
      <c r="J7" s="7" t="n">
        <v>9.71</v>
      </c>
      <c r="K7" s="54" t="s">
        <v>15</v>
      </c>
      <c r="L7" s="7" t="n">
        <v>0.2</v>
      </c>
    </row>
    <row r="8" customFormat="false" ht="14.25" hidden="false" customHeight="false" outlineLevel="0" collapsed="false">
      <c r="B8" s="7" t="n">
        <v>6</v>
      </c>
      <c r="C8" s="7" t="s">
        <v>50</v>
      </c>
      <c r="D8" s="7" t="s">
        <v>51</v>
      </c>
      <c r="E8" s="8" t="n">
        <v>96738</v>
      </c>
      <c r="F8" s="8" t="n">
        <v>192732</v>
      </c>
      <c r="G8" s="8" t="n">
        <v>95994</v>
      </c>
      <c r="H8" s="9" t="n">
        <v>0.992</v>
      </c>
      <c r="I8" s="10" t="n">
        <v>5</v>
      </c>
      <c r="J8" s="7" t="n">
        <v>23.55</v>
      </c>
      <c r="K8" s="54" t="s">
        <v>15</v>
      </c>
      <c r="L8" s="7" t="n">
        <v>0.8</v>
      </c>
    </row>
    <row r="9" customFormat="false" ht="14.25" hidden="false" customHeight="false" outlineLevel="0" collapsed="false">
      <c r="B9" s="7" t="n">
        <v>7</v>
      </c>
      <c r="C9" s="7" t="s">
        <v>27</v>
      </c>
      <c r="D9" s="55" t="s">
        <v>54</v>
      </c>
      <c r="E9" s="8" t="n">
        <v>98497</v>
      </c>
      <c r="F9" s="8" t="n">
        <v>119669</v>
      </c>
      <c r="G9" s="8" t="n">
        <v>21172</v>
      </c>
      <c r="H9" s="9" t="n">
        <v>0.215</v>
      </c>
      <c r="I9" s="10" t="n">
        <v>4</v>
      </c>
      <c r="J9" s="7" t="n">
        <v>16.13</v>
      </c>
      <c r="K9" s="54" t="s">
        <v>15</v>
      </c>
      <c r="L9" s="7" t="n">
        <v>0.85</v>
      </c>
    </row>
    <row r="10" customFormat="false" ht="14.25" hidden="false" customHeight="false" outlineLevel="0" collapsed="false">
      <c r="B10" s="7" t="n">
        <v>8</v>
      </c>
      <c r="C10" s="7" t="s">
        <v>19</v>
      </c>
      <c r="D10" s="7" t="s">
        <v>49</v>
      </c>
      <c r="E10" s="8" t="n">
        <v>840957</v>
      </c>
      <c r="F10" s="8" t="n">
        <v>1287579</v>
      </c>
      <c r="G10" s="8" t="n">
        <v>446622</v>
      </c>
      <c r="H10" s="9" t="n">
        <v>0.531</v>
      </c>
      <c r="I10" s="7" t="n">
        <v>5</v>
      </c>
      <c r="J10" s="7" t="n">
        <v>16.88</v>
      </c>
      <c r="K10" s="54" t="s">
        <v>15</v>
      </c>
      <c r="L10" s="7" t="n">
        <v>0.77</v>
      </c>
    </row>
    <row r="11" customFormat="false" ht="14.25" hidden="false" customHeight="false" outlineLevel="0" collapsed="false">
      <c r="B11" s="7"/>
      <c r="C11" s="12" t="s">
        <v>38</v>
      </c>
      <c r="D11" s="12"/>
      <c r="E11" s="35" t="n">
        <v>2752718</v>
      </c>
      <c r="F11" s="35" t="n">
        <v>5518639</v>
      </c>
      <c r="G11" s="35" t="n">
        <v>2765921</v>
      </c>
      <c r="H11" s="46"/>
      <c r="I11" s="46"/>
      <c r="J11" s="46"/>
      <c r="K11" s="56"/>
      <c r="L11" s="4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57" width="4"/>
    <col collapsed="false" customWidth="true" hidden="false" outlineLevel="0" max="2" min="2" style="57" width="10.11"/>
    <col collapsed="false" customWidth="true" hidden="false" outlineLevel="0" max="3" min="3" style="57" width="24.44"/>
    <col collapsed="false" customWidth="true" hidden="false" outlineLevel="0" max="4" min="4" style="57" width="17.77"/>
    <col collapsed="false" customWidth="true" hidden="false" outlineLevel="0" max="7" min="5" style="51" width="13.22"/>
    <col collapsed="false" customWidth="true" hidden="false" outlineLevel="0" max="8" min="8" style="57" width="10.78"/>
    <col collapsed="false" customWidth="true" hidden="false" outlineLevel="0" max="9" min="9" style="57" width="16.22"/>
    <col collapsed="false" customWidth="true" hidden="false" outlineLevel="0" max="10" min="10" style="57" width="14.56"/>
    <col collapsed="false" customWidth="true" hidden="false" outlineLevel="0" max="11" min="11" style="57" width="13.22"/>
    <col collapsed="false" customWidth="true" hidden="false" outlineLevel="0" max="12" min="12" style="57" width="15"/>
    <col collapsed="false" customWidth="false" hidden="false" outlineLevel="0" max="13" min="13" style="57" width="8.88"/>
    <col collapsed="false" customWidth="true" hidden="false" outlineLevel="0" max="14" min="14" style="57" width="13.34"/>
    <col collapsed="false" customWidth="false" hidden="false" outlineLevel="0" max="16384" min="15" style="57" width="8.88"/>
  </cols>
  <sheetData>
    <row r="2" customFormat="false" ht="14.25" hidden="false" customHeight="false" outlineLevel="0" collapsed="false">
      <c r="B2" s="58" t="s">
        <v>1</v>
      </c>
      <c r="C2" s="58" t="s">
        <v>2</v>
      </c>
      <c r="D2" s="58" t="s">
        <v>3</v>
      </c>
      <c r="E2" s="59" t="s">
        <v>4</v>
      </c>
      <c r="F2" s="59" t="s">
        <v>5</v>
      </c>
      <c r="G2" s="59" t="s">
        <v>6</v>
      </c>
      <c r="H2" s="28"/>
      <c r="I2" s="26" t="s">
        <v>3</v>
      </c>
      <c r="J2" s="26" t="s">
        <v>4</v>
      </c>
      <c r="K2" s="26" t="s">
        <v>5</v>
      </c>
      <c r="L2" s="26" t="s">
        <v>6</v>
      </c>
      <c r="M2" s="27" t="s">
        <v>39</v>
      </c>
    </row>
    <row r="3" customFormat="false" ht="14.25" hidden="false" customHeight="false" outlineLevel="0" collapsed="false">
      <c r="B3" s="7" t="n">
        <v>1</v>
      </c>
      <c r="C3" s="7" t="s">
        <v>48</v>
      </c>
      <c r="D3" s="7" t="s">
        <v>49</v>
      </c>
      <c r="E3" s="8" t="n">
        <v>760000</v>
      </c>
      <c r="F3" s="8" t="n">
        <v>1501294</v>
      </c>
      <c r="G3" s="8" t="n">
        <v>741294</v>
      </c>
      <c r="H3" s="19"/>
      <c r="I3" s="7" t="s">
        <v>13</v>
      </c>
      <c r="J3" s="29" t="n">
        <f aca="false">E8</f>
        <v>2357483</v>
      </c>
      <c r="K3" s="29" t="n">
        <f aca="false">F8</f>
        <v>4433596</v>
      </c>
      <c r="L3" s="29" t="n">
        <f aca="false">G8</f>
        <v>2076113</v>
      </c>
      <c r="M3" s="60" t="n">
        <f aca="false">J3/$J$6</f>
        <v>0.85642009097917</v>
      </c>
    </row>
    <row r="4" customFormat="false" ht="14.25" hidden="false" customHeight="false" outlineLevel="0" collapsed="false">
      <c r="B4" s="7" t="n">
        <v>3</v>
      </c>
      <c r="C4" s="7" t="s">
        <v>52</v>
      </c>
      <c r="D4" s="7" t="s">
        <v>49</v>
      </c>
      <c r="E4" s="8" t="n">
        <v>200000</v>
      </c>
      <c r="F4" s="8" t="n">
        <v>725211</v>
      </c>
      <c r="G4" s="8" t="n">
        <v>525211</v>
      </c>
      <c r="H4" s="19"/>
      <c r="I4" s="7" t="s">
        <v>34</v>
      </c>
      <c r="J4" s="29" t="n">
        <f aca="false">E13</f>
        <v>296738</v>
      </c>
      <c r="K4" s="29" t="n">
        <f aca="false">F13</f>
        <v>965374</v>
      </c>
      <c r="L4" s="29" t="n">
        <f aca="false">G13</f>
        <v>668636</v>
      </c>
      <c r="M4" s="60" t="n">
        <f aca="false">J4/$J$6</f>
        <v>0.107798183468121</v>
      </c>
    </row>
    <row r="5" customFormat="false" ht="14.25" hidden="false" customHeight="false" outlineLevel="0" collapsed="false">
      <c r="B5" s="7" t="n">
        <v>4</v>
      </c>
      <c r="C5" s="7" t="s">
        <v>36</v>
      </c>
      <c r="D5" s="7" t="s">
        <v>49</v>
      </c>
      <c r="E5" s="8" t="n">
        <v>256000</v>
      </c>
      <c r="F5" s="8" t="n">
        <v>544305</v>
      </c>
      <c r="G5" s="8" t="n">
        <v>288305</v>
      </c>
      <c r="H5" s="19"/>
      <c r="I5" s="7" t="s">
        <v>28</v>
      </c>
      <c r="J5" s="29" t="n">
        <f aca="false">E16</f>
        <v>98497</v>
      </c>
      <c r="K5" s="29" t="n">
        <f aca="false">F16</f>
        <v>119669</v>
      </c>
      <c r="L5" s="29" t="n">
        <f aca="false">G16</f>
        <v>21172</v>
      </c>
      <c r="M5" s="60" t="n">
        <f aca="false">J5/$J$6</f>
        <v>0.0357817255527083</v>
      </c>
    </row>
    <row r="6" customFormat="false" ht="14.25" hidden="false" customHeight="false" outlineLevel="0" collapsed="false">
      <c r="B6" s="7" t="n">
        <v>5</v>
      </c>
      <c r="C6" s="7" t="s">
        <v>53</v>
      </c>
      <c r="D6" s="55" t="s">
        <v>49</v>
      </c>
      <c r="E6" s="8" t="n">
        <v>300526</v>
      </c>
      <c r="F6" s="8" t="n">
        <v>375207</v>
      </c>
      <c r="G6" s="8" t="n">
        <v>74681</v>
      </c>
      <c r="H6" s="19"/>
      <c r="I6" s="46" t="s">
        <v>38</v>
      </c>
      <c r="J6" s="61" t="n">
        <f aca="false">SUM(J3:J5)</f>
        <v>2752718</v>
      </c>
      <c r="K6" s="61" t="n">
        <f aca="false">SUM(K3:K5)</f>
        <v>5518639</v>
      </c>
      <c r="L6" s="61" t="n">
        <f aca="false">SUM(L3:L5)</f>
        <v>2765921</v>
      </c>
      <c r="M6" s="62" t="n">
        <f aca="false">J6/$J$6</f>
        <v>1</v>
      </c>
    </row>
    <row r="7" customFormat="false" ht="14.25" hidden="false" customHeight="false" outlineLevel="0" collapsed="false">
      <c r="B7" s="7" t="n">
        <v>8</v>
      </c>
      <c r="C7" s="7" t="s">
        <v>19</v>
      </c>
      <c r="D7" s="7" t="s">
        <v>49</v>
      </c>
      <c r="E7" s="8" t="n">
        <v>840957</v>
      </c>
      <c r="F7" s="8" t="n">
        <v>1287579</v>
      </c>
      <c r="G7" s="8" t="n">
        <v>446622</v>
      </c>
      <c r="H7" s="19"/>
      <c r="I7" s="1"/>
      <c r="J7" s="36"/>
      <c r="K7" s="36"/>
      <c r="L7" s="36"/>
      <c r="M7" s="37"/>
    </row>
    <row r="8" customFormat="false" ht="14.25" hidden="false" customHeight="false" outlineLevel="0" collapsed="false">
      <c r="B8" s="63"/>
      <c r="C8" s="63"/>
      <c r="D8" s="63"/>
      <c r="E8" s="40" t="n">
        <f aca="false">SUM(E3:E7)</f>
        <v>2357483</v>
      </c>
      <c r="F8" s="40" t="n">
        <f aca="false">SUM(F3:F7)</f>
        <v>4433596</v>
      </c>
      <c r="G8" s="40" t="n">
        <f aca="false">SUM(G3:G7)</f>
        <v>2076113</v>
      </c>
      <c r="I8" s="1"/>
      <c r="J8" s="36"/>
      <c r="K8" s="36"/>
      <c r="L8" s="36"/>
      <c r="M8" s="37"/>
    </row>
    <row r="9" customFormat="false" ht="14.25" hidden="false" customHeight="false" outlineLevel="0" collapsed="false">
      <c r="E9" s="64"/>
      <c r="F9" s="64"/>
      <c r="G9" s="64"/>
      <c r="I9" s="65"/>
      <c r="J9" s="66"/>
      <c r="K9" s="66"/>
      <c r="L9" s="66"/>
      <c r="M9" s="67"/>
    </row>
    <row r="10" customFormat="false" ht="14.25" hidden="false" customHeight="false" outlineLevel="0" collapsed="false">
      <c r="B10" s="58" t="s">
        <v>1</v>
      </c>
      <c r="C10" s="58" t="s">
        <v>2</v>
      </c>
      <c r="D10" s="58" t="s">
        <v>3</v>
      </c>
      <c r="E10" s="59" t="s">
        <v>4</v>
      </c>
      <c r="F10" s="59" t="s">
        <v>5</v>
      </c>
      <c r="G10" s="59" t="s">
        <v>6</v>
      </c>
      <c r="H10" s="28"/>
      <c r="I10" s="26" t="s">
        <v>3</v>
      </c>
      <c r="J10" s="26" t="s">
        <v>43</v>
      </c>
      <c r="K10" s="26" t="s">
        <v>44</v>
      </c>
      <c r="L10" s="38" t="s">
        <v>45</v>
      </c>
      <c r="M10" s="26" t="s">
        <v>46</v>
      </c>
    </row>
    <row r="11" customFormat="false" ht="14.25" hidden="false" customHeight="false" outlineLevel="0" collapsed="false">
      <c r="B11" s="7" t="n">
        <v>2</v>
      </c>
      <c r="C11" s="7" t="s">
        <v>50</v>
      </c>
      <c r="D11" s="7" t="s">
        <v>51</v>
      </c>
      <c r="E11" s="8" t="n">
        <v>200000</v>
      </c>
      <c r="F11" s="8" t="n">
        <v>772642</v>
      </c>
      <c r="G11" s="8" t="n">
        <v>572642</v>
      </c>
      <c r="H11" s="19"/>
      <c r="I11" s="43" t="s">
        <v>13</v>
      </c>
      <c r="J11" s="44" t="n">
        <v>0.35</v>
      </c>
      <c r="K11" s="45" t="n">
        <v>0.86</v>
      </c>
      <c r="L11" s="45" t="n">
        <v>0.35</v>
      </c>
      <c r="M11" s="45" t="n">
        <f aca="false">L11-K11</f>
        <v>-0.51</v>
      </c>
    </row>
    <row r="12" customFormat="false" ht="14.25" hidden="false" customHeight="false" outlineLevel="0" collapsed="false">
      <c r="B12" s="7" t="n">
        <v>6</v>
      </c>
      <c r="C12" s="7" t="s">
        <v>50</v>
      </c>
      <c r="D12" s="7" t="s">
        <v>51</v>
      </c>
      <c r="E12" s="8" t="n">
        <v>96738</v>
      </c>
      <c r="F12" s="8" t="n">
        <v>192732</v>
      </c>
      <c r="G12" s="8" t="n">
        <v>95994</v>
      </c>
      <c r="H12" s="19"/>
      <c r="I12" s="7" t="s">
        <v>34</v>
      </c>
      <c r="J12" s="30" t="n">
        <v>0.15</v>
      </c>
      <c r="K12" s="30" t="n">
        <v>0.11</v>
      </c>
      <c r="L12" s="41" t="n">
        <v>0.1</v>
      </c>
      <c r="M12" s="42" t="n">
        <f aca="false">L12-K12</f>
        <v>-0.01</v>
      </c>
    </row>
    <row r="13" customFormat="false" ht="14.25" hidden="false" customHeight="false" outlineLevel="0" collapsed="false">
      <c r="B13" s="68"/>
      <c r="C13" s="68"/>
      <c r="D13" s="68"/>
      <c r="E13" s="40" t="n">
        <f aca="false">SUM(E11:E12)</f>
        <v>296738</v>
      </c>
      <c r="F13" s="40" t="n">
        <f aca="false">SUM(F11:F12)</f>
        <v>965374</v>
      </c>
      <c r="G13" s="40" t="n">
        <f aca="false">SUM(G11:G12)</f>
        <v>668636</v>
      </c>
      <c r="H13" s="28"/>
      <c r="I13" s="7" t="s">
        <v>28</v>
      </c>
      <c r="J13" s="30" t="n">
        <v>0.1</v>
      </c>
      <c r="K13" s="30" t="n">
        <v>0.04</v>
      </c>
      <c r="L13" s="41" t="n">
        <v>0.05</v>
      </c>
      <c r="M13" s="42" t="n">
        <f aca="false">L13-K13</f>
        <v>0.01</v>
      </c>
    </row>
    <row r="14" customFormat="false" ht="14.25" hidden="false" customHeight="false" outlineLevel="0" collapsed="false">
      <c r="B14" s="1"/>
      <c r="C14" s="1"/>
      <c r="D14" s="1"/>
      <c r="E14" s="69"/>
      <c r="F14" s="69"/>
      <c r="G14" s="69"/>
      <c r="H14" s="19"/>
      <c r="I14" s="7" t="s">
        <v>40</v>
      </c>
      <c r="J14" s="30" t="n">
        <v>0.3</v>
      </c>
      <c r="K14" s="30" t="n">
        <v>0</v>
      </c>
      <c r="L14" s="41" t="n">
        <v>0.3</v>
      </c>
      <c r="M14" s="42" t="n">
        <f aca="false">L14-K14</f>
        <v>0.3</v>
      </c>
    </row>
    <row r="15" customFormat="false" ht="14.25" hidden="false" customHeight="false" outlineLevel="0" collapsed="false">
      <c r="B15" s="70" t="s">
        <v>1</v>
      </c>
      <c r="C15" s="58" t="s">
        <v>2</v>
      </c>
      <c r="D15" s="58" t="s">
        <v>3</v>
      </c>
      <c r="E15" s="59" t="s">
        <v>4</v>
      </c>
      <c r="F15" s="59" t="s">
        <v>5</v>
      </c>
      <c r="G15" s="59" t="s">
        <v>6</v>
      </c>
      <c r="H15" s="28"/>
      <c r="I15" s="7" t="s">
        <v>41</v>
      </c>
      <c r="J15" s="30" t="n">
        <v>0.05</v>
      </c>
      <c r="K15" s="30" t="n">
        <v>0</v>
      </c>
      <c r="L15" s="41" t="n">
        <v>0.1</v>
      </c>
      <c r="M15" s="42" t="n">
        <f aca="false">L15-K15</f>
        <v>0.1</v>
      </c>
    </row>
    <row r="16" customFormat="false" ht="14.25" hidden="false" customHeight="false" outlineLevel="0" collapsed="false">
      <c r="B16" s="71" t="n">
        <v>7</v>
      </c>
      <c r="C16" s="7" t="s">
        <v>27</v>
      </c>
      <c r="D16" s="55" t="s">
        <v>54</v>
      </c>
      <c r="E16" s="40" t="n">
        <v>98497</v>
      </c>
      <c r="F16" s="40" t="n">
        <v>119669</v>
      </c>
      <c r="G16" s="40" t="n">
        <v>21172</v>
      </c>
      <c r="H16" s="19"/>
      <c r="I16" s="7" t="s">
        <v>42</v>
      </c>
      <c r="J16" s="30" t="n">
        <v>0.05</v>
      </c>
      <c r="K16" s="30" t="n">
        <v>0</v>
      </c>
      <c r="L16" s="41" t="n">
        <v>0.1</v>
      </c>
      <c r="M16" s="42" t="n">
        <f aca="false">L16-K16</f>
        <v>0.1</v>
      </c>
    </row>
    <row r="17" customFormat="false" ht="14.25" hidden="false" customHeight="false" outlineLevel="0" collapsed="false">
      <c r="B17" s="1"/>
      <c r="C17" s="1"/>
      <c r="D17" s="72"/>
      <c r="E17" s="18"/>
      <c r="F17" s="18"/>
      <c r="G17" s="18"/>
      <c r="H17" s="19"/>
      <c r="I17" s="47" t="s">
        <v>38</v>
      </c>
      <c r="J17" s="73" t="n">
        <f aca="false">SUM(J11:J16)</f>
        <v>1</v>
      </c>
      <c r="K17" s="73"/>
      <c r="L17" s="74" t="n">
        <f aca="false">SUM(L11:L16)</f>
        <v>1</v>
      </c>
      <c r="M17" s="7"/>
    </row>
    <row r="18" customFormat="false" ht="14.25" hidden="false" customHeight="false" outlineLevel="0" collapsed="false">
      <c r="B18" s="1"/>
      <c r="C18" s="1"/>
      <c r="D18" s="1"/>
      <c r="E18" s="18"/>
      <c r="F18" s="18"/>
      <c r="G18" s="18"/>
      <c r="H18" s="19"/>
      <c r="I18" s="1"/>
      <c r="J18" s="1"/>
      <c r="K18" s="1"/>
      <c r="L18" s="1"/>
    </row>
    <row r="21" customFormat="false" ht="14.25" hidden="false" customHeight="false" outlineLevel="0" collapsed="false">
      <c r="B21" s="28"/>
      <c r="C21" s="28"/>
      <c r="D21" s="28"/>
      <c r="E21" s="28"/>
      <c r="F21" s="28"/>
      <c r="G21" s="28"/>
      <c r="H21" s="28"/>
      <c r="I21" s="28"/>
      <c r="J21" s="65"/>
      <c r="K21" s="65"/>
      <c r="L21" s="65"/>
    </row>
    <row r="22" customFormat="false" ht="14.25" hidden="false" customHeight="false" outlineLevel="0" collapsed="false">
      <c r="B22" s="1"/>
      <c r="C22" s="1"/>
      <c r="D22" s="1"/>
      <c r="E22" s="18"/>
      <c r="F22" s="18"/>
      <c r="G22" s="18"/>
      <c r="H22" s="19"/>
      <c r="I22" s="2"/>
      <c r="J22" s="1"/>
      <c r="K22" s="1"/>
      <c r="L22" s="1"/>
    </row>
    <row r="23" customFormat="false" ht="14.25" hidden="false" customHeight="false" outlineLevel="0" collapsed="false">
      <c r="B23" s="1"/>
      <c r="C23" s="1"/>
      <c r="D23" s="1"/>
      <c r="E23" s="18"/>
      <c r="F23" s="18"/>
      <c r="G23" s="18"/>
      <c r="H23" s="19"/>
      <c r="I23" s="2"/>
      <c r="J23" s="1"/>
      <c r="K23" s="1"/>
      <c r="L2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L14" activeCellId="0" sqref="L14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3.56"/>
    <col collapsed="false" customWidth="true" hidden="false" outlineLevel="0" max="2" min="2" style="1" width="7.56"/>
    <col collapsed="false" customWidth="true" hidden="false" outlineLevel="0" max="4" min="3" style="1" width="24.21"/>
    <col collapsed="false" customWidth="true" hidden="false" outlineLevel="0" max="5" min="5" style="1" width="13.22"/>
    <col collapsed="false" customWidth="true" hidden="false" outlineLevel="0" max="6" min="6" style="1" width="14.44"/>
    <col collapsed="false" customWidth="true" hidden="false" outlineLevel="0" max="7" min="7" style="1" width="13.22"/>
    <col collapsed="false" customWidth="true" hidden="false" outlineLevel="0" max="8" min="8" style="1" width="10.88"/>
    <col collapsed="false" customWidth="true" hidden="false" outlineLevel="0" max="9" min="9" style="1" width="13.67"/>
    <col collapsed="false" customWidth="true" hidden="false" outlineLevel="0" max="10" min="10" style="1" width="14.11"/>
    <col collapsed="false" customWidth="true" hidden="false" outlineLevel="0" max="11" min="11" style="1" width="11"/>
    <col collapsed="false" customWidth="true" hidden="false" outlineLevel="0" max="12" min="12" style="1" width="14.56"/>
    <col collapsed="false" customWidth="false" hidden="false" outlineLevel="0" max="16384" min="13" style="1" width="8.88"/>
  </cols>
  <sheetData>
    <row r="1" customFormat="false" ht="14.25" hidden="false" customHeight="false" outlineLevel="0" collapsed="false">
      <c r="C1" s="4" t="s">
        <v>55</v>
      </c>
    </row>
    <row r="2" customFormat="false" ht="14.25" hidden="false" customHeight="false" outlineLevel="0" collapsed="false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3" t="s">
        <v>9</v>
      </c>
      <c r="K2" s="53" t="s">
        <v>10</v>
      </c>
      <c r="L2" s="53" t="s">
        <v>11</v>
      </c>
    </row>
    <row r="3" customFormat="false" ht="14.25" hidden="false" customHeight="false" outlineLevel="0" collapsed="false">
      <c r="B3" s="7" t="n">
        <v>1</v>
      </c>
      <c r="C3" s="55" t="s">
        <v>27</v>
      </c>
      <c r="D3" s="55" t="s">
        <v>54</v>
      </c>
      <c r="E3" s="8" t="n">
        <v>1520000</v>
      </c>
      <c r="F3" s="8" t="n">
        <v>2277131</v>
      </c>
      <c r="G3" s="8" t="n">
        <v>757131</v>
      </c>
      <c r="H3" s="9" t="n">
        <v>0.498</v>
      </c>
      <c r="I3" s="10" t="n">
        <v>4</v>
      </c>
      <c r="J3" s="7" t="n">
        <v>16.13</v>
      </c>
      <c r="K3" s="7" t="s">
        <v>15</v>
      </c>
      <c r="L3" s="7" t="n">
        <v>0.85</v>
      </c>
    </row>
    <row r="4" customFormat="false" ht="14.25" hidden="false" customHeight="false" outlineLevel="0" collapsed="false">
      <c r="B4" s="7" t="n">
        <v>2</v>
      </c>
      <c r="C4" s="55" t="s">
        <v>56</v>
      </c>
      <c r="D4" s="55" t="s">
        <v>49</v>
      </c>
      <c r="E4" s="8" t="n">
        <v>382030</v>
      </c>
      <c r="F4" s="8" t="n">
        <v>440687</v>
      </c>
      <c r="G4" s="8" t="n">
        <v>58657</v>
      </c>
      <c r="H4" s="9" t="n">
        <v>0.154</v>
      </c>
      <c r="I4" s="10" t="s">
        <v>14</v>
      </c>
      <c r="J4" s="7" t="n">
        <v>9.95</v>
      </c>
      <c r="K4" s="7" t="s">
        <v>15</v>
      </c>
      <c r="L4" s="7" t="n">
        <v>0.04</v>
      </c>
    </row>
    <row r="5" customFormat="false" ht="14.25" hidden="false" customHeight="false" outlineLevel="0" collapsed="false">
      <c r="B5" s="7" t="n">
        <v>3</v>
      </c>
      <c r="C5" s="55" t="s">
        <v>57</v>
      </c>
      <c r="D5" s="55" t="s">
        <v>49</v>
      </c>
      <c r="E5" s="8" t="n">
        <v>268985</v>
      </c>
      <c r="F5" s="8" t="n">
        <v>321344</v>
      </c>
      <c r="G5" s="8" t="n">
        <v>52359</v>
      </c>
      <c r="H5" s="9" t="n">
        <v>0.195</v>
      </c>
      <c r="I5" s="10" t="n">
        <v>2</v>
      </c>
      <c r="J5" s="7" t="n">
        <v>9.71</v>
      </c>
      <c r="K5" s="7" t="s">
        <v>15</v>
      </c>
      <c r="L5" s="7" t="n">
        <v>0.2</v>
      </c>
    </row>
    <row r="6" customFormat="false" ht="14.25" hidden="false" customHeight="false" outlineLevel="0" collapsed="false">
      <c r="B6" s="7" t="n">
        <v>4</v>
      </c>
      <c r="C6" s="55" t="s">
        <v>58</v>
      </c>
      <c r="D6" s="55" t="s">
        <v>59</v>
      </c>
      <c r="E6" s="8" t="n">
        <v>139084</v>
      </c>
      <c r="F6" s="8" t="n">
        <v>271628</v>
      </c>
      <c r="G6" s="8" t="n">
        <v>132544</v>
      </c>
      <c r="H6" s="9" t="n">
        <v>0.953</v>
      </c>
      <c r="I6" s="10" t="s">
        <v>14</v>
      </c>
      <c r="J6" s="7" t="n">
        <v>35.51</v>
      </c>
      <c r="K6" s="7" t="s">
        <v>21</v>
      </c>
      <c r="L6" s="7" t="n">
        <v>0.8</v>
      </c>
    </row>
    <row r="7" customFormat="false" ht="14.25" hidden="false" customHeight="false" outlineLevel="0" collapsed="false">
      <c r="B7" s="7"/>
      <c r="C7" s="75" t="s">
        <v>38</v>
      </c>
      <c r="D7" s="75"/>
      <c r="E7" s="35" t="n">
        <v>2310099</v>
      </c>
      <c r="F7" s="35" t="n">
        <v>3310790</v>
      </c>
      <c r="G7" s="35" t="n">
        <v>1000691</v>
      </c>
      <c r="H7" s="56"/>
      <c r="I7" s="46"/>
      <c r="J7" s="46"/>
      <c r="K7" s="46"/>
      <c r="L7" s="4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6" activeCellId="0" sqref="G16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10.11"/>
    <col collapsed="false" customWidth="true" hidden="false" outlineLevel="0" max="3" min="3" style="1" width="24.21"/>
    <col collapsed="false" customWidth="true" hidden="false" outlineLevel="0" max="4" min="4" style="1" width="17.77"/>
    <col collapsed="false" customWidth="true" hidden="false" outlineLevel="0" max="5" min="5" style="1" width="12.88"/>
    <col collapsed="false" customWidth="true" hidden="false" outlineLevel="0" max="6" min="6" style="1" width="17.11"/>
    <col collapsed="false" customWidth="true" hidden="false" outlineLevel="0" max="7" min="7" style="1" width="12.11"/>
    <col collapsed="false" customWidth="true" hidden="false" outlineLevel="0" max="8" min="8" style="1" width="10.78"/>
    <col collapsed="false" customWidth="true" hidden="false" outlineLevel="0" max="9" min="9" style="1" width="15.66"/>
    <col collapsed="false" customWidth="true" hidden="false" outlineLevel="0" max="12" min="10" style="1" width="13.22"/>
    <col collapsed="false" customWidth="false" hidden="false" outlineLevel="0" max="13" min="13" style="23" width="8.88"/>
    <col collapsed="false" customWidth="false" hidden="false" outlineLevel="0" max="16384" min="14" style="1" width="8.88"/>
  </cols>
  <sheetData>
    <row r="2" customFormat="false" ht="14.25" hidden="false" customHeight="false" outlineLevel="0" collapsed="false">
      <c r="B2" s="58" t="s">
        <v>1</v>
      </c>
      <c r="C2" s="58" t="s">
        <v>2</v>
      </c>
      <c r="D2" s="58" t="s">
        <v>3</v>
      </c>
      <c r="E2" s="58" t="s">
        <v>4</v>
      </c>
      <c r="F2" s="58" t="s">
        <v>5</v>
      </c>
      <c r="G2" s="58" t="s">
        <v>6</v>
      </c>
      <c r="I2" s="26" t="s">
        <v>3</v>
      </c>
      <c r="J2" s="26" t="s">
        <v>4</v>
      </c>
      <c r="K2" s="26" t="s">
        <v>5</v>
      </c>
      <c r="L2" s="26" t="s">
        <v>6</v>
      </c>
      <c r="M2" s="27" t="s">
        <v>39</v>
      </c>
    </row>
    <row r="3" customFormat="false" ht="14.25" hidden="false" customHeight="false" outlineLevel="0" collapsed="false">
      <c r="B3" s="7" t="n">
        <v>2</v>
      </c>
      <c r="C3" s="55" t="s">
        <v>56</v>
      </c>
      <c r="D3" s="55" t="s">
        <v>49</v>
      </c>
      <c r="E3" s="8" t="n">
        <v>382030</v>
      </c>
      <c r="F3" s="8" t="n">
        <v>440687</v>
      </c>
      <c r="G3" s="8" t="n">
        <v>58657</v>
      </c>
      <c r="I3" s="55" t="s">
        <v>13</v>
      </c>
      <c r="J3" s="76" t="n">
        <f aca="false">E5</f>
        <v>651015</v>
      </c>
      <c r="K3" s="76" t="n">
        <f aca="false">F5</f>
        <v>762031</v>
      </c>
      <c r="L3" s="76" t="n">
        <f aca="false">G5</f>
        <v>111016</v>
      </c>
      <c r="M3" s="77" t="n">
        <f aca="false">J3/$J$6</f>
        <v>0.281812597641919</v>
      </c>
    </row>
    <row r="4" customFormat="false" ht="14.25" hidden="false" customHeight="false" outlineLevel="0" collapsed="false">
      <c r="B4" s="7" t="n">
        <v>3</v>
      </c>
      <c r="C4" s="55" t="s">
        <v>57</v>
      </c>
      <c r="D4" s="55" t="s">
        <v>49</v>
      </c>
      <c r="E4" s="8" t="n">
        <v>268985</v>
      </c>
      <c r="F4" s="8" t="n">
        <v>321344</v>
      </c>
      <c r="G4" s="8" t="n">
        <v>52359</v>
      </c>
      <c r="I4" s="55" t="s">
        <v>28</v>
      </c>
      <c r="J4" s="29" t="n">
        <v>1520000</v>
      </c>
      <c r="K4" s="29" t="n">
        <v>2277131</v>
      </c>
      <c r="L4" s="29" t="n">
        <v>757131</v>
      </c>
      <c r="M4" s="77" t="n">
        <f aca="false">J4/$J$6</f>
        <v>0.657980458846136</v>
      </c>
    </row>
    <row r="5" customFormat="false" ht="14.25" hidden="false" customHeight="false" outlineLevel="0" collapsed="false">
      <c r="B5" s="7"/>
      <c r="C5" s="55"/>
      <c r="D5" s="78" t="s">
        <v>38</v>
      </c>
      <c r="E5" s="40" t="n">
        <f aca="false">SUM(E3:E4)</f>
        <v>651015</v>
      </c>
      <c r="F5" s="40" t="n">
        <f aca="false">SUM(F3:F4)</f>
        <v>762031</v>
      </c>
      <c r="G5" s="40" t="n">
        <f aca="false">SUM(G3:G4)</f>
        <v>111016</v>
      </c>
      <c r="I5" s="55" t="s">
        <v>60</v>
      </c>
      <c r="J5" s="29" t="n">
        <v>139084</v>
      </c>
      <c r="K5" s="29" t="n">
        <v>271628</v>
      </c>
      <c r="L5" s="29" t="n">
        <v>132544</v>
      </c>
      <c r="M5" s="77" t="n">
        <f aca="false">J5/$J$6</f>
        <v>0.0602069435119447</v>
      </c>
    </row>
    <row r="6" customFormat="false" ht="14.25" hidden="false" customHeight="false" outlineLevel="0" collapsed="false">
      <c r="E6" s="22"/>
      <c r="F6" s="22"/>
      <c r="G6" s="22"/>
      <c r="I6" s="46" t="s">
        <v>38</v>
      </c>
      <c r="J6" s="13" t="n">
        <f aca="false">SUM(J3:J5)</f>
        <v>2310099</v>
      </c>
      <c r="K6" s="13" t="n">
        <f aca="false">SUM(K3:K5)</f>
        <v>3310790</v>
      </c>
      <c r="L6" s="13" t="n">
        <f aca="false">SUM(L3:L5)</f>
        <v>1000691</v>
      </c>
      <c r="M6" s="79" t="n">
        <f aca="false">J6/$J$6</f>
        <v>1</v>
      </c>
    </row>
    <row r="7" customFormat="false" ht="14.25" hidden="false" customHeight="false" outlineLevel="0" collapsed="false">
      <c r="B7" s="70" t="s">
        <v>1</v>
      </c>
      <c r="C7" s="58" t="s">
        <v>2</v>
      </c>
      <c r="D7" s="58" t="s">
        <v>3</v>
      </c>
      <c r="E7" s="59" t="s">
        <v>4</v>
      </c>
      <c r="F7" s="59" t="s">
        <v>5</v>
      </c>
      <c r="G7" s="59" t="s">
        <v>6</v>
      </c>
    </row>
    <row r="8" customFormat="false" ht="14.25" hidden="false" customHeight="false" outlineLevel="0" collapsed="false">
      <c r="B8" s="71" t="n">
        <v>1</v>
      </c>
      <c r="C8" s="55" t="s">
        <v>27</v>
      </c>
      <c r="D8" s="55" t="s">
        <v>54</v>
      </c>
      <c r="E8" s="8" t="n">
        <v>1520000</v>
      </c>
      <c r="F8" s="8" t="n">
        <v>2277131</v>
      </c>
      <c r="G8" s="8" t="n">
        <v>757131</v>
      </c>
    </row>
    <row r="9" customFormat="false" ht="14.25" hidden="false" customHeight="false" outlineLevel="0" collapsed="false">
      <c r="E9" s="22"/>
      <c r="F9" s="22"/>
      <c r="G9" s="22"/>
      <c r="I9" s="26" t="s">
        <v>3</v>
      </c>
      <c r="J9" s="26" t="s">
        <v>43</v>
      </c>
      <c r="K9" s="26" t="s">
        <v>44</v>
      </c>
      <c r="L9" s="38" t="s">
        <v>45</v>
      </c>
      <c r="M9" s="26" t="s">
        <v>46</v>
      </c>
    </row>
    <row r="10" customFormat="false" ht="14.25" hidden="false" customHeight="false" outlineLevel="0" collapsed="false">
      <c r="B10" s="70" t="s">
        <v>1</v>
      </c>
      <c r="C10" s="58" t="s">
        <v>2</v>
      </c>
      <c r="D10" s="58" t="s">
        <v>3</v>
      </c>
      <c r="E10" s="59" t="s">
        <v>4</v>
      </c>
      <c r="F10" s="59" t="s">
        <v>5</v>
      </c>
      <c r="G10" s="59" t="s">
        <v>6</v>
      </c>
      <c r="I10" s="7" t="s">
        <v>13</v>
      </c>
      <c r="J10" s="30" t="n">
        <v>0.25</v>
      </c>
      <c r="K10" s="30" t="n">
        <v>0.281812597641919</v>
      </c>
      <c r="L10" s="80" t="n">
        <v>0.2</v>
      </c>
      <c r="M10" s="42" t="n">
        <f aca="false">L10-K10</f>
        <v>-0.0818125976419192</v>
      </c>
    </row>
    <row r="11" customFormat="false" ht="14.25" hidden="false" customHeight="false" outlineLevel="0" collapsed="false">
      <c r="B11" s="71" t="n">
        <v>4</v>
      </c>
      <c r="C11" s="55" t="s">
        <v>58</v>
      </c>
      <c r="D11" s="55" t="s">
        <v>59</v>
      </c>
      <c r="E11" s="8" t="n">
        <v>139084</v>
      </c>
      <c r="F11" s="8" t="n">
        <v>271628</v>
      </c>
      <c r="G11" s="8" t="n">
        <v>132544</v>
      </c>
      <c r="I11" s="7" t="s">
        <v>34</v>
      </c>
      <c r="J11" s="30" t="n">
        <v>0.15</v>
      </c>
      <c r="K11" s="30" t="n">
        <v>0</v>
      </c>
      <c r="L11" s="41" t="n">
        <v>0.2</v>
      </c>
      <c r="M11" s="42" t="n">
        <f aca="false">L11-K11</f>
        <v>0.2</v>
      </c>
    </row>
    <row r="12" customFormat="false" ht="14.25" hidden="false" customHeight="false" outlineLevel="0" collapsed="false">
      <c r="I12" s="43" t="s">
        <v>28</v>
      </c>
      <c r="J12" s="44" t="n">
        <v>0.4</v>
      </c>
      <c r="K12" s="81" t="n">
        <v>0.657980458846136</v>
      </c>
      <c r="L12" s="81" t="n">
        <v>0.4</v>
      </c>
      <c r="M12" s="45" t="n">
        <f aca="false">L12-K12</f>
        <v>-0.257980458846136</v>
      </c>
    </row>
    <row r="13" customFormat="false" ht="14.25" hidden="false" customHeight="false" outlineLevel="0" collapsed="false">
      <c r="I13" s="7" t="s">
        <v>40</v>
      </c>
      <c r="J13" s="30" t="n">
        <v>0</v>
      </c>
      <c r="K13" s="30" t="n">
        <v>0</v>
      </c>
      <c r="L13" s="41" t="n">
        <v>0</v>
      </c>
      <c r="M13" s="42" t="n">
        <f aca="false">L13-K13</f>
        <v>0</v>
      </c>
    </row>
    <row r="14" customFormat="false" ht="14.25" hidden="false" customHeight="false" outlineLevel="0" collapsed="false">
      <c r="I14" s="7" t="s">
        <v>41</v>
      </c>
      <c r="J14" s="30" t="n">
        <v>0.1</v>
      </c>
      <c r="K14" s="30" t="n">
        <v>0</v>
      </c>
      <c r="L14" s="41" t="n">
        <v>0.1</v>
      </c>
      <c r="M14" s="42" t="n">
        <f aca="false">L14-K14</f>
        <v>0.1</v>
      </c>
    </row>
    <row r="15" customFormat="false" ht="14.25" hidden="false" customHeight="false" outlineLevel="0" collapsed="false">
      <c r="I15" s="7" t="s">
        <v>42</v>
      </c>
      <c r="J15" s="30" t="n">
        <v>0.1</v>
      </c>
      <c r="K15" s="30" t="n">
        <v>0.06</v>
      </c>
      <c r="L15" s="41" t="n">
        <v>0.1</v>
      </c>
      <c r="M15" s="42" t="n">
        <f aca="false">L15-K15</f>
        <v>0.04</v>
      </c>
    </row>
    <row r="16" customFormat="false" ht="14.25" hidden="false" customHeight="false" outlineLevel="0" collapsed="false">
      <c r="I16" s="47" t="s">
        <v>38</v>
      </c>
      <c r="J16" s="73" t="n">
        <f aca="false">SUM(J10:J15)</f>
        <v>1</v>
      </c>
      <c r="K16" s="73"/>
      <c r="L16" s="82" t="n">
        <f aca="false">SUM(L10:L15)</f>
        <v>1</v>
      </c>
      <c r="M16" s="8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88671875" defaultRowHeight="14.2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.33"/>
    <col collapsed="false" customWidth="true" hidden="false" outlineLevel="0" max="3" min="3" style="1" width="16"/>
    <col collapsed="false" customWidth="true" hidden="false" outlineLevel="0" max="4" min="4" style="1" width="14.44"/>
    <col collapsed="false" customWidth="true" hidden="false" outlineLevel="0" max="5" min="5" style="1" width="16.11"/>
    <col collapsed="false" customWidth="true" hidden="false" outlineLevel="0" max="6" min="6" style="1" width="14.44"/>
    <col collapsed="false" customWidth="true" hidden="false" outlineLevel="0" max="7" min="7" style="1" width="29"/>
    <col collapsed="false" customWidth="true" hidden="false" outlineLevel="0" max="8" min="8" style="1" width="12.88"/>
    <col collapsed="false" customWidth="false" hidden="false" outlineLevel="0" max="16384" min="9" style="1" width="8.88"/>
  </cols>
  <sheetData>
    <row r="2" customFormat="false" ht="14.25" hidden="false" customHeight="false" outlineLevel="0" collapsed="false">
      <c r="B2" s="84" t="s">
        <v>61</v>
      </c>
      <c r="C2" s="84" t="s">
        <v>62</v>
      </c>
      <c r="D2" s="84" t="s">
        <v>5</v>
      </c>
      <c r="E2" s="84" t="s">
        <v>6</v>
      </c>
      <c r="F2" s="84" t="s">
        <v>63</v>
      </c>
      <c r="G2" s="84" t="s">
        <v>64</v>
      </c>
      <c r="H2" s="84" t="s">
        <v>65</v>
      </c>
    </row>
    <row r="3" customFormat="false" ht="14.25" hidden="false" customHeight="false" outlineLevel="0" collapsed="false">
      <c r="B3" s="7" t="s">
        <v>0</v>
      </c>
      <c r="C3" s="29" t="n">
        <v>7805142</v>
      </c>
      <c r="D3" s="29" t="n">
        <v>15108633</v>
      </c>
      <c r="E3" s="29" t="n">
        <v>7303491</v>
      </c>
      <c r="F3" s="85" t="n">
        <f aca="false">E3/C3</f>
        <v>0.935728139218992</v>
      </c>
      <c r="G3" s="7" t="s">
        <v>66</v>
      </c>
      <c r="H3" s="7"/>
    </row>
    <row r="4" customFormat="false" ht="14.25" hidden="false" customHeight="false" outlineLevel="0" collapsed="false">
      <c r="B4" s="7" t="s">
        <v>47</v>
      </c>
      <c r="C4" s="29" t="n">
        <v>2752718</v>
      </c>
      <c r="D4" s="29" t="n">
        <v>5518639</v>
      </c>
      <c r="E4" s="29" t="n">
        <v>2765921</v>
      </c>
      <c r="F4" s="85" t="n">
        <f aca="false">E4/C4</f>
        <v>1.0047963503708</v>
      </c>
      <c r="G4" s="7" t="s">
        <v>66</v>
      </c>
      <c r="H4" s="7"/>
    </row>
    <row r="5" customFormat="false" ht="14.25" hidden="false" customHeight="false" outlineLevel="0" collapsed="false">
      <c r="B5" s="7" t="s">
        <v>55</v>
      </c>
      <c r="C5" s="29" t="n">
        <v>2310099</v>
      </c>
      <c r="D5" s="29" t="n">
        <v>3310790</v>
      </c>
      <c r="E5" s="29" t="n">
        <v>1000691</v>
      </c>
      <c r="F5" s="85" t="n">
        <f aca="false">E5/C5</f>
        <v>0.433181002199473</v>
      </c>
      <c r="G5" s="7" t="s">
        <v>67</v>
      </c>
      <c r="H5" s="86" t="n">
        <v>1689210</v>
      </c>
    </row>
    <row r="6" customFormat="false" ht="14.25" hidden="false" customHeight="false" outlineLevel="0" collapsed="false">
      <c r="B6" s="7" t="s">
        <v>68</v>
      </c>
      <c r="C6" s="29" t="n">
        <f aca="false">SUM(C3:C5)</f>
        <v>12867959</v>
      </c>
      <c r="D6" s="29" t="n">
        <f aca="false">SUM(D3:D5)</f>
        <v>23938062</v>
      </c>
      <c r="E6" s="29" t="n">
        <f aca="false">SUM(E3:E5)</f>
        <v>11070103</v>
      </c>
      <c r="F6" s="85" t="n">
        <f aca="false">E6/C6</f>
        <v>0.860284292170965</v>
      </c>
      <c r="G6" s="7"/>
      <c r="H6" s="7"/>
    </row>
    <row r="9" customFormat="false" ht="14.25" hidden="false" customHeight="false" outlineLevel="0" collapsed="false">
      <c r="B9" s="84" t="s">
        <v>69</v>
      </c>
      <c r="C9" s="84" t="s">
        <v>70</v>
      </c>
    </row>
    <row r="10" customFormat="false" ht="14.25" hidden="false" customHeight="false" outlineLevel="0" collapsed="false">
      <c r="B10" s="7" t="s">
        <v>71</v>
      </c>
      <c r="C10" s="87" t="n">
        <v>20627272</v>
      </c>
    </row>
    <row r="11" customFormat="false" ht="14.25" hidden="false" customHeight="false" outlineLevel="0" collapsed="false">
      <c r="B11" s="7" t="s">
        <v>72</v>
      </c>
      <c r="C11" s="87" t="n">
        <v>24000000</v>
      </c>
      <c r="D11" s="22"/>
    </row>
    <row r="12" customFormat="false" ht="14.25" hidden="false" customHeight="false" outlineLevel="0" collapsed="false">
      <c r="B12" s="7" t="s">
        <v>73</v>
      </c>
      <c r="C12" s="88" t="n">
        <f aca="false">C10-C11</f>
        <v>-3372728</v>
      </c>
    </row>
    <row r="15" customFormat="false" ht="14.25" hidden="false" customHeight="false" outlineLevel="0" collapsed="false">
      <c r="B15" s="84" t="s">
        <v>74</v>
      </c>
      <c r="C15" s="84" t="s">
        <v>70</v>
      </c>
    </row>
    <row r="16" customFormat="false" ht="14.25" hidden="false" customHeight="false" outlineLevel="0" collapsed="false">
      <c r="B16" s="7" t="s">
        <v>75</v>
      </c>
      <c r="C16" s="87" t="n">
        <v>3310790</v>
      </c>
    </row>
    <row r="17" customFormat="false" ht="14.25" hidden="false" customHeight="false" outlineLevel="0" collapsed="false">
      <c r="B17" s="7" t="s">
        <v>76</v>
      </c>
      <c r="C17" s="87" t="n">
        <v>5000000</v>
      </c>
    </row>
    <row r="18" customFormat="false" ht="14.25" hidden="false" customHeight="false" outlineLevel="0" collapsed="false">
      <c r="B18" s="7" t="s">
        <v>46</v>
      </c>
      <c r="C18" s="88" t="n">
        <f aca="false">C16-C17</f>
        <v>-1689210</v>
      </c>
    </row>
    <row r="19" customFormat="false" ht="14.25" hidden="false" customHeight="false" outlineLevel="0" collapsed="false">
      <c r="B19" s="7" t="s">
        <v>77</v>
      </c>
      <c r="C19" s="83" t="n">
        <f aca="false">($C$17/$C$16)^(1/4)-1</f>
        <v>0.108560991494926</v>
      </c>
    </row>
    <row r="20" customFormat="false" ht="14.25" hidden="false" customHeight="false" outlineLevel="0" collapsed="false">
      <c r="B20" s="7" t="s">
        <v>78</v>
      </c>
      <c r="C20" s="83" t="n">
        <f aca="false">($C$17/$C$16)^(1/5)-1</f>
        <v>0.0859446096066128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2025-11-18T07:22:04Z</dcterms:created>
  <dc:creator>Simaran Shaikh</dc:creator>
  <dc:description/>
  <dc:language>en-IN</dc:language>
  <cp:lastModifiedBy/>
  <dcterms:modified xsi:type="dcterms:W3CDTF">2026-05-18T19:08:06Z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